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Product Catalog" sheetId="1" r:id="rId4"/>
    <sheet state="visible" name="⚡ Negotiation Params" sheetId="2" r:id="rId5"/>
    <sheet state="visible" name="🚢 Trade Routes" sheetId="3" r:id="rId6"/>
    <sheet state="visible" name="🚢 Port Reference" sheetId="4" r:id="rId7"/>
    <sheet state="visible" name="🌍 Broker Floors" sheetId="5" r:id="rId8"/>
    <sheet state="visible" name="📊 Dashboard" sheetId="6" r:id="rId9"/>
    <sheet state="visible" name="ℹ️ Legend" sheetId="7" r:id="rId10"/>
  </sheets>
  <definedNames/>
  <calcPr/>
</workbook>
</file>

<file path=xl/sharedStrings.xml><?xml version="1.0" encoding="utf-8"?>
<sst xmlns="http://schemas.openxmlformats.org/spreadsheetml/2006/main" count="1141" uniqueCount="448">
  <si>
    <t>SLOI AI — Commodity Product Catalog v2</t>
  </si>
  <si>
    <t>Blue = editable input  ·  Green = auto-calculated  ·  Update market prices weekly  ·  May 2026</t>
  </si>
  <si>
    <t>PRODUCT IDENTIFICATION</t>
  </si>
  <si>
    <t>PRICING (USD)</t>
  </si>
  <si>
    <t>LOGISTICS &amp; PORTS</t>
  </si>
  <si>
    <t>TRADE TERMS</t>
  </si>
  <si>
    <t>VALIDITY &amp; DATES</t>
  </si>
  <si>
    <t>SETTINGS</t>
  </si>
  <si>
    <t>REF Code</t>
  </si>
  <si>
    <t>SKU</t>
  </si>
  <si>
    <t>Product Name</t>
  </si>
  <si>
    <t>Sector</t>
  </si>
  <si>
    <t>Unit</t>
  </si>
  <si>
    <t>Cost Price
$/unit</t>
  </si>
  <si>
    <t>Market Price
$/unit</t>
  </si>
  <si>
    <t>Broker Floor
$/unit</t>
  </si>
  <si>
    <t>Freight
$/unit</t>
  </si>
  <si>
    <t>CIF Price
$/unit</t>
  </si>
  <si>
    <t>Margin %</t>
  </si>
  <si>
    <t>Port of Origin</t>
  </si>
  <si>
    <t>Port of Destination</t>
  </si>
  <si>
    <t>Shipping Route</t>
  </si>
  <si>
    <t>Lead Time
(days)</t>
  </si>
  <si>
    <t>Incoterm</t>
  </si>
  <si>
    <t>Origin Country</t>
  </si>
  <si>
    <t>Import Duty %</t>
  </si>
  <si>
    <t>Landed Cost
$/unit</t>
  </si>
  <si>
    <t>Payment Terms</t>
  </si>
  <si>
    <t>Last Updated</t>
  </si>
  <si>
    <t>Price Valid Until</t>
  </si>
  <si>
    <t>Days to Expiry</t>
  </si>
  <si>
    <t>MOQ</t>
  </si>
  <si>
    <t>Min Deal USD</t>
  </si>
  <si>
    <t>Certifications</t>
  </si>
  <si>
    <t>Inspection</t>
  </si>
  <si>
    <t>Active</t>
  </si>
  <si>
    <t>REF-MET-001</t>
  </si>
  <si>
    <t>STL-12</t>
  </si>
  <si>
    <t>Steel Rebar G60 12mm</t>
  </si>
  <si>
    <t>Metals</t>
  </si>
  <si>
    <t>MT</t>
  </si>
  <si>
    <t>Jebel Ali, UAE</t>
  </si>
  <si>
    <t>Alexandria, Egypt</t>
  </si>
  <si>
    <t>FOB</t>
  </si>
  <si>
    <t>UAE/Turkey</t>
  </si>
  <si>
    <t>LC at sight</t>
  </si>
  <si>
    <t>ISO 3834, CE, ASTM A615</t>
  </si>
  <si>
    <t>SGS/BV</t>
  </si>
  <si>
    <t>Yes</t>
  </si>
  <si>
    <t>STL-HRC</t>
  </si>
  <si>
    <t>Steel HR Coil SS400</t>
  </si>
  <si>
    <t>Port Said, Egypt</t>
  </si>
  <si>
    <t>ISO 3834, JIS G3101</t>
  </si>
  <si>
    <t>BV</t>
  </si>
  <si>
    <t>STL-CRC</t>
  </si>
  <si>
    <t>Steel CR Coil DC01</t>
  </si>
  <si>
    <t>Hamburg, Germany</t>
  </si>
  <si>
    <t>Germany</t>
  </si>
  <si>
    <t>LC 30 days</t>
  </si>
  <si>
    <t>EN 10130, ISO 3834</t>
  </si>
  <si>
    <t>SGS</t>
  </si>
  <si>
    <t>REF-MET-002</t>
  </si>
  <si>
    <t>ALU-6061</t>
  </si>
  <si>
    <t>Aluminum 6061-T6</t>
  </si>
  <si>
    <t>Haifa, Israel</t>
  </si>
  <si>
    <t>UAE/China</t>
  </si>
  <si>
    <t>TT in advance</t>
  </si>
  <si>
    <t>CE, REACH, AMS 2770</t>
  </si>
  <si>
    <t>Intertek</t>
  </si>
  <si>
    <t>ALU-PRF</t>
  </si>
  <si>
    <t>Aluminum Profiles</t>
  </si>
  <si>
    <t>m</t>
  </si>
  <si>
    <t>Aqaba, Jordan</t>
  </si>
  <si>
    <t>CE, REACH</t>
  </si>
  <si>
    <t>None</t>
  </si>
  <si>
    <t>REF-MET-003</t>
  </si>
  <si>
    <t>CPR-ETP</t>
  </si>
  <si>
    <t>Copper ETP Rod 8mm</t>
  </si>
  <si>
    <t>Antwerp, Belgium</t>
  </si>
  <si>
    <t>CIF</t>
  </si>
  <si>
    <t>Chile/UAE</t>
  </si>
  <si>
    <t>ASTM B187, EN 13599</t>
  </si>
  <si>
    <t>REF-BLD-001</t>
  </si>
  <si>
    <t>BLK-200</t>
  </si>
  <si>
    <t>Concrete Block 20cm</t>
  </si>
  <si>
    <t>Building</t>
  </si>
  <si>
    <t>Dubai, UAE</t>
  </si>
  <si>
    <t>DAP</t>
  </si>
  <si>
    <t>UAE</t>
  </si>
  <si>
    <t>ISO 9001, ASTM C90</t>
  </si>
  <si>
    <t>CNC-B25</t>
  </si>
  <si>
    <t>Ready-Mix Concrete B25</t>
  </si>
  <si>
    <t>m³</t>
  </si>
  <si>
    <t>ISO 9001, BS 8500</t>
  </si>
  <si>
    <t>REF-BLD-002</t>
  </si>
  <si>
    <t>TLE-6060</t>
  </si>
  <si>
    <t>Porcelain Tile 60×60cm</t>
  </si>
  <si>
    <t>m²</t>
  </si>
  <si>
    <t>Genoa, Italy</t>
  </si>
  <si>
    <t>Italy/Spain</t>
  </si>
  <si>
    <t>LC 60 days</t>
  </si>
  <si>
    <t>ISO 9001, CE</t>
  </si>
  <si>
    <t>REF-BLD-003</t>
  </si>
  <si>
    <t>PVC-110</t>
  </si>
  <si>
    <t>PVC Pipe 110mm SDR34</t>
  </si>
  <si>
    <t>UAE/Egypt</t>
  </si>
  <si>
    <t>CE, ISO 4422</t>
  </si>
  <si>
    <t>REF-BLD-004</t>
  </si>
  <si>
    <t>STL-STR</t>
  </si>
  <si>
    <t>Structural Steel H-Beam</t>
  </si>
  <si>
    <t>Istanbul, Turkey</t>
  </si>
  <si>
    <t>Turkey</t>
  </si>
  <si>
    <t>EN 10034, ISO 9001</t>
  </si>
  <si>
    <t>REF-ENE-001</t>
  </si>
  <si>
    <t>DSL-B2</t>
  </si>
  <si>
    <t>Industrial Diesel B2</t>
  </si>
  <si>
    <t>Energy</t>
  </si>
  <si>
    <t>Liter</t>
  </si>
  <si>
    <t>ISO 14001, EN 590</t>
  </si>
  <si>
    <t>DSL-B5</t>
  </si>
  <si>
    <t>Biodiesel B5</t>
  </si>
  <si>
    <t>Salalah, Oman</t>
  </si>
  <si>
    <t>ISO 14001, EN 14214</t>
  </si>
  <si>
    <t>REF-ENE-002</t>
  </si>
  <si>
    <t>LFO-380</t>
  </si>
  <si>
    <t>Fuel Oil 380 CST</t>
  </si>
  <si>
    <t>Fujairah, UAE</t>
  </si>
  <si>
    <t>Djibouti</t>
  </si>
  <si>
    <t>CAD</t>
  </si>
  <si>
    <t>ISO 8217</t>
  </si>
  <si>
    <t>REF-AGR-001</t>
  </si>
  <si>
    <t>WHT-HRD</t>
  </si>
  <si>
    <t>Hard Wheat 14% protein</t>
  </si>
  <si>
    <t>Agriculture</t>
  </si>
  <si>
    <t>Odessa, Ukraine</t>
  </si>
  <si>
    <t>Ukraine</t>
  </si>
  <si>
    <t>ISO 22000, HACCP</t>
  </si>
  <si>
    <t>WHT-SFT</t>
  </si>
  <si>
    <t>Soft Wheat 11% protein</t>
  </si>
  <si>
    <t>Rouen, France</t>
  </si>
  <si>
    <t>Casablanca, Morocco</t>
  </si>
  <si>
    <t>France</t>
  </si>
  <si>
    <t>CRN-YLW</t>
  </si>
  <si>
    <t>Yellow Corn No.2</t>
  </si>
  <si>
    <t>Santos, Brazil</t>
  </si>
  <si>
    <t>Brazil</t>
  </si>
  <si>
    <t>ISO 22000, HACCP, Non-GMO</t>
  </si>
  <si>
    <t>REF-AGR-002</t>
  </si>
  <si>
    <t>SOY-GMO</t>
  </si>
  <si>
    <t>Soybean GMO 48% prot</t>
  </si>
  <si>
    <t>Paranagua, Brazil</t>
  </si>
  <si>
    <t>ISO 22000</t>
  </si>
  <si>
    <t>REF-AGR-003</t>
  </si>
  <si>
    <t>SGR-RAW</t>
  </si>
  <si>
    <t>Raw Cane Sugar VHP</t>
  </si>
  <si>
    <t>Jeddah, KSA</t>
  </si>
  <si>
    <t>ISO 22000, Bonsucro</t>
  </si>
  <si>
    <t>REF-CHM-001</t>
  </si>
  <si>
    <t>H2SO4</t>
  </si>
  <si>
    <t>Sulfuric Acid 98%</t>
  </si>
  <si>
    <t>Chemicals</t>
  </si>
  <si>
    <t>Suez, Egypt</t>
  </si>
  <si>
    <t>UAE/Germany</t>
  </si>
  <si>
    <t>REACH, ISO 9001</t>
  </si>
  <si>
    <t>NaOH</t>
  </si>
  <si>
    <t>Caustic Soda 50% liquid</t>
  </si>
  <si>
    <t>REF-CHM-002</t>
  </si>
  <si>
    <t>UREA</t>
  </si>
  <si>
    <t>Urea 46% Prilled</t>
  </si>
  <si>
    <t>ISO 9001</t>
  </si>
  <si>
    <t>DAP-F</t>
  </si>
  <si>
    <t>DAP Fertilizer 18-46-0</t>
  </si>
  <si>
    <t>Morocco/UAE</t>
  </si>
  <si>
    <t>REF-CHM-003</t>
  </si>
  <si>
    <t>PP-GRN</t>
  </si>
  <si>
    <t>PP Granules Homopolymer</t>
  </si>
  <si>
    <t>UAE/Saudi</t>
  </si>
  <si>
    <t>REACH, RoHS</t>
  </si>
  <si>
    <t>HDPE-BLW</t>
  </si>
  <si>
    <t>HDPE Blow Grade</t>
  </si>
  <si>
    <t>AVERAGES / TOTALS  (25 products)</t>
  </si>
  <si>
    <t>SLOI AI — Negotiation Parameters per Product</t>
  </si>
  <si>
    <t>Blue = editable  ·  Green = auto-calc  ·  These parameters drive the Claude negotiation agent</t>
  </si>
  <si>
    <t>PRODUCT</t>
  </si>
  <si>
    <t>PRICE ANCHORS</t>
  </si>
  <si>
    <t>AGENT BEHAVIOR</t>
  </si>
  <si>
    <t>VOLUME DISCOUNTS</t>
  </si>
  <si>
    <t>AUTONOMOUS</t>
  </si>
  <si>
    <t>Walk-Away
$/unit</t>
  </si>
  <si>
    <t>Opening Offer
$/unit</t>
  </si>
  <si>
    <t>Max Rounds</t>
  </si>
  <si>
    <t>Opening
Offer %</t>
  </si>
  <si>
    <t>Concession
per Round %</t>
  </si>
  <si>
    <t>Strategy</t>
  </si>
  <si>
    <t>Vol Disc 1
(qty / %)</t>
  </si>
  <si>
    <t>Vol Disc 2
(qty / %)</t>
  </si>
  <si>
    <t>Vol Disc 3
(qty / %)</t>
  </si>
  <si>
    <t>Auto-Approve</t>
  </si>
  <si>
    <t>Daily Cap
(orders)</t>
  </si>
  <si>
    <t>Daily Cap
(USD)</t>
  </si>
  <si>
    <t>4.5%</t>
  </si>
  <si>
    <t>2.0%</t>
  </si>
  <si>
    <t>standard</t>
  </si>
  <si>
    <t>100MT/1%</t>
  </si>
  <si>
    <t>500MT/2%</t>
  </si>
  <si>
    <t>1000MT/3%</t>
  </si>
  <si>
    <t>3.9%</t>
  </si>
  <si>
    <t>1.8%</t>
  </si>
  <si>
    <t>50MT/1%</t>
  </si>
  <si>
    <t>200MT/2%</t>
  </si>
  <si>
    <t>500MT/3%</t>
  </si>
  <si>
    <t>4.4%</t>
  </si>
  <si>
    <t>aggressive</t>
  </si>
  <si>
    <t>20MT/1%</t>
  </si>
  <si>
    <t>100MT/2%</t>
  </si>
  <si>
    <t>No</t>
  </si>
  <si>
    <t>1.5%</t>
  </si>
  <si>
    <t>5MT/0.5%</t>
  </si>
  <si>
    <t>4.0%</t>
  </si>
  <si>
    <t>500m/1%</t>
  </si>
  <si>
    <t>2000m/2%</t>
  </si>
  <si>
    <t>10000m/3%</t>
  </si>
  <si>
    <t>4.1%</t>
  </si>
  <si>
    <t>20MT/1.5%</t>
  </si>
  <si>
    <t>50MT/2.5%</t>
  </si>
  <si>
    <t>4.2%</t>
  </si>
  <si>
    <t>1000/1%</t>
  </si>
  <si>
    <t>5000/2%</t>
  </si>
  <si>
    <t>20000/3%</t>
  </si>
  <si>
    <t>2.5%</t>
  </si>
  <si>
    <t>10m³/1%</t>
  </si>
  <si>
    <t>50m³/2%</t>
  </si>
  <si>
    <t>200m³/3%</t>
  </si>
  <si>
    <t>3.2%</t>
  </si>
  <si>
    <t>100m²/1%</t>
  </si>
  <si>
    <t>500m²/2%</t>
  </si>
  <si>
    <t>2000m²/3%</t>
  </si>
  <si>
    <t>PVC Pipe 110mm</t>
  </si>
  <si>
    <t>3.6%</t>
  </si>
  <si>
    <t>3.8%</t>
  </si>
  <si>
    <t>10MT/1%</t>
  </si>
  <si>
    <t>50MT/2%</t>
  </si>
  <si>
    <t>200MT/3%</t>
  </si>
  <si>
    <t>3.7%</t>
  </si>
  <si>
    <t>5000L/1%</t>
  </si>
  <si>
    <t>20000L/2%</t>
  </si>
  <si>
    <t>100000L/3%</t>
  </si>
  <si>
    <t>Soybean GMO</t>
  </si>
  <si>
    <t>3.4%</t>
  </si>
  <si>
    <t>5MT/1%</t>
  </si>
  <si>
    <t>20MT/2%</t>
  </si>
  <si>
    <t>50MT/3%</t>
  </si>
  <si>
    <t>Caustic Soda 50%</t>
  </si>
  <si>
    <t>SLOI AI — Trade Routes Catalog</t>
  </si>
  <si>
    <t>Each route = product + origin port + destination port + full cost breakdown  ·  Blue = editable  ·  Green = auto</t>
  </si>
  <si>
    <t>ROUTE</t>
  </si>
  <si>
    <t>COST BREAKDOWN ($/unit)</t>
  </si>
  <si>
    <t>LEAD &amp; TERMS</t>
  </si>
  <si>
    <t>STATUS</t>
  </si>
  <si>
    <t>Route ID</t>
  </si>
  <si>
    <t>Product</t>
  </si>
  <si>
    <t>RT-001</t>
  </si>
  <si>
    <t>Steel Rebar G60</t>
  </si>
  <si>
    <t>RT-002</t>
  </si>
  <si>
    <t>RT-003</t>
  </si>
  <si>
    <t>RT-004</t>
  </si>
  <si>
    <t>RT-005</t>
  </si>
  <si>
    <t>Steel HR Coil</t>
  </si>
  <si>
    <t>RT-006</t>
  </si>
  <si>
    <t>RT-007</t>
  </si>
  <si>
    <t>RT-008</t>
  </si>
  <si>
    <t>RT-009</t>
  </si>
  <si>
    <t>Copper ETP Rod</t>
  </si>
  <si>
    <t>RT-010</t>
  </si>
  <si>
    <t>RT-011</t>
  </si>
  <si>
    <t>Muscat, Oman</t>
  </si>
  <si>
    <t>RT-012</t>
  </si>
  <si>
    <t>Porcelain Tile 60×60</t>
  </si>
  <si>
    <t>RT-013</t>
  </si>
  <si>
    <t>Structural Steel</t>
  </si>
  <si>
    <t>RT-014</t>
  </si>
  <si>
    <t>RT-015</t>
  </si>
  <si>
    <t>RT-016</t>
  </si>
  <si>
    <t>RT-017</t>
  </si>
  <si>
    <t>RT-018</t>
  </si>
  <si>
    <t>Hard Wheat 14%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</si>
  <si>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</si>
  <si>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</si>
  <si>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</si>
  <si>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</si>
  <si>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</si>
  <si>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</si>
  <si>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</si>
  <si>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</si>
  <si>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</si>
  <si>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</si>
  <si>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</si>
  <si>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</si>
  <si>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PP Granules</t>
  </si>
  <si>
    <t>30 routes · Use Route Calculator for CIF quotes</t>
  </si>
  <si>
    <t>SLOI AI — Port Reference &amp; Shipping Routes</t>
  </si>
  <si>
    <t>Port Name</t>
  </si>
  <si>
    <t>Country</t>
  </si>
  <si>
    <t>Region</t>
  </si>
  <si>
    <t>Typical Lead +Days</t>
  </si>
  <si>
    <t>Notes</t>
  </si>
  <si>
    <t>Gulf</t>
  </si>
  <si>
    <t>+0 days</t>
  </si>
  <si>
    <t>Main SLOI AI hub · largest port MENA</t>
  </si>
  <si>
    <t>Gulf/Indian</t>
  </si>
  <si>
    <t>+1 days</t>
  </si>
  <si>
    <t>Bunkering · oil products</t>
  </si>
  <si>
    <t>Abu Dhabi, UAE</t>
  </si>
  <si>
    <t>ADNOC products · chemicals</t>
  </si>
  <si>
    <t>Egypt</t>
  </si>
  <si>
    <t>Mediterranean</t>
  </si>
  <si>
    <t>+4 days</t>
  </si>
  <si>
    <t>Main Egypt import port</t>
  </si>
  <si>
    <t>Suez Canal</t>
  </si>
  <si>
    <t>Transit · bulk cargo</t>
  </si>
  <si>
    <t>Red Sea</t>
  </si>
  <si>
    <t>+5 days</t>
  </si>
  <si>
    <t>Canal entry · chemicals</t>
  </si>
  <si>
    <t>Jordan</t>
  </si>
  <si>
    <t>+3 days</t>
  </si>
  <si>
    <t>Jordan only landlocked port</t>
  </si>
  <si>
    <t>Israel</t>
  </si>
  <si>
    <t>Main Israeli port</t>
  </si>
  <si>
    <t>Ashdod, Israel</t>
  </si>
  <si>
    <t>Bulk · containers</t>
  </si>
  <si>
    <t>Saudi Arabia</t>
  </si>
  <si>
    <t>+2 days</t>
  </si>
  <si>
    <t>Main KSA port</t>
  </si>
  <si>
    <t>Dammam, KSA</t>
  </si>
  <si>
    <t>Eastern Province</t>
  </si>
  <si>
    <t>Oman</t>
  </si>
  <si>
    <t>Indian Ocean</t>
  </si>
  <si>
    <t>Transhipment hub</t>
  </si>
  <si>
    <t>Morocco</t>
  </si>
  <si>
    <t>Atlantic</t>
  </si>
  <si>
    <t>+6 days</t>
  </si>
  <si>
    <t>Main Morocco port</t>
  </si>
  <si>
    <t>North Sea</t>
  </si>
  <si>
    <t>+14 days</t>
  </si>
  <si>
    <t>Main North Europe steel hub</t>
  </si>
  <si>
    <t>Belgium</t>
  </si>
  <si>
    <t>Chemicals · bulk · containers</t>
  </si>
  <si>
    <t>Italy</t>
  </si>
  <si>
    <t>+10 days</t>
  </si>
  <si>
    <t>Tiles · building materials</t>
  </si>
  <si>
    <t>Black Sea</t>
  </si>
  <si>
    <t>+7 days</t>
  </si>
  <si>
    <t>Steel · construction materials</t>
  </si>
  <si>
    <t>Grain · wheat</t>
  </si>
  <si>
    <t>English Channel</t>
  </si>
  <si>
    <t>Grain · soft wheat</t>
  </si>
  <si>
    <t>+21 days</t>
  </si>
  <si>
    <t>Soy · corn · sugar</t>
  </si>
  <si>
    <t>Soybeans</t>
  </si>
  <si>
    <t>Horn of Africa hub</t>
  </si>
  <si>
    <t>SLOI AI — Broker Floor Prices</t>
  </si>
  <si>
    <t>Floor = Market Price × (1 - Discount%)  ·  Blue = editable  ·  Green = auto-calculated</t>
  </si>
  <si>
    <t>Broker ID</t>
  </si>
  <si>
    <t>Name</t>
  </si>
  <si>
    <t>Sectors</t>
  </si>
  <si>
    <t>Discount%</t>
  </si>
  <si>
    <t>Preferred Ports</t>
  </si>
  <si>
    <t>STL-12 Floor</t>
  </si>
  <si>
    <t>WHT-HRD Floor</t>
  </si>
  <si>
    <t>H2SO4 Floor</t>
  </si>
  <si>
    <t>Status</t>
  </si>
  <si>
    <t>BRK-UAE-001</t>
  </si>
  <si>
    <t>Gulf Trade Partners</t>
  </si>
  <si>
    <t>Metals · Building</t>
  </si>
  <si>
    <t>Jebel Ali → Alexandria / Aqaba</t>
  </si>
  <si>
    <t>BRK-EUR-001</t>
  </si>
  <si>
    <t>EuroChem GmbH</t>
  </si>
  <si>
    <t>Agriculture · Chemicals</t>
  </si>
  <si>
    <t>Hamburg/Antwerp → Jebel Ali</t>
  </si>
  <si>
    <t>BRK-EGY-001</t>
  </si>
  <si>
    <t>MENA Commodities</t>
  </si>
  <si>
    <t>Building · Agriculture</t>
  </si>
  <si>
    <t>Jebel Ali → Port Said</t>
  </si>
  <si>
    <t>BRK-KSA-001</t>
  </si>
  <si>
    <t>Arabian Trade Co.</t>
  </si>
  <si>
    <t>Metals · Energy</t>
  </si>
  <si>
    <t>Jebel Ali → Jeddah/Dammam</t>
  </si>
  <si>
    <t>BRK-JOR-001</t>
  </si>
  <si>
    <t>Jordan Import Partners</t>
  </si>
  <si>
    <t>Agriculture · Building</t>
  </si>
  <si>
    <t>Jebel Ali → Aqaba</t>
  </si>
  <si>
    <t>SLOI AI — Product Catalog Dashboard</t>
  </si>
  <si>
    <t>Total Products</t>
  </si>
  <si>
    <t>Active Products</t>
  </si>
  <si>
    <t>Avg Market Price</t>
  </si>
  <si>
    <t>Avg Margin</t>
  </si>
  <si>
    <t>Avg Freight $/unit</t>
  </si>
  <si>
    <t>Avg Duty %</t>
  </si>
  <si>
    <t>Expiring ≤7 days</t>
  </si>
  <si>
    <t>Total Brokers</t>
  </si>
  <si>
    <t>SLOI AI — Field Definitions</t>
  </si>
  <si>
    <t>FIELD / COLOR</t>
  </si>
  <si>
    <t>DEFINITION</t>
  </si>
  <si>
    <t>Internal supplier reference. Never shown to buyers. RLS-enforced in DB.</t>
  </si>
  <si>
    <t>Stock Keeping Unit — use in API calls (product_ref parameter)</t>
  </si>
  <si>
    <t>Cost Price 🔵</t>
  </si>
  <si>
    <t>SLOI AI purchase/known cost. Confidential. Blue = editable.</t>
  </si>
  <si>
    <t>Market Price 🔵</t>
  </si>
  <si>
    <t>Price shown on Exchange and to buyers. Update weekly. Blue = editable.</t>
  </si>
  <si>
    <t>Broker Floor 🔵</t>
  </si>
  <si>
    <t>Minimum price agent can negotiate to. Blue = editable.</t>
  </si>
  <si>
    <t>Freight $/unit 🔵</t>
  </si>
  <si>
    <t>Estimated shipping cost per unit on main route. Blue = editable.</t>
  </si>
  <si>
    <t>CIF Price 🟢</t>
  </si>
  <si>
    <t>Auto: Market Price + Freight. Green = formula, do not edit.</t>
  </si>
  <si>
    <t>Margin % 🟢</t>
  </si>
  <si>
    <t>Auto: (Market - Cost) / Cost. Green ≥20% · Yellow 10-20% · Red &lt;10%</t>
  </si>
  <si>
    <t>Port of Origin 🔵</t>
  </si>
  <si>
    <t>Main departure port for this product (e.g. Jebel Ali, UAE)</t>
  </si>
  <si>
    <t>Port of Destination 🔵</t>
  </si>
  <si>
    <t>Default destination port (e.g. Alexandria, Egypt). Override per deal.</t>
  </si>
  <si>
    <t>Shipping Route 🟢</t>
  </si>
  <si>
    <t>Auto: Port of Origin → Port of Destination. Formula.</t>
  </si>
  <si>
    <t>Import Duty % 🔵</t>
  </si>
  <si>
    <t>Import tariff at destination country. Check per country. Blue = editable.</t>
  </si>
  <si>
    <t>Landed Cost 🟢</t>
  </si>
  <si>
    <t>Auto: CIF × (1 + Import Duty%). Total cost at destination.</t>
  </si>
  <si>
    <t>Price Valid Until 🔵</t>
  </si>
  <si>
    <t>Date this price expires. System alerts when ≤7 days remaining.</t>
  </si>
  <si>
    <t>Days to Expiry 🟢</t>
  </si>
  <si>
    <t>Auto: days until Price Valid Until. Red ≤7 · Yellow ≤14 · Green &gt;14</t>
  </si>
  <si>
    <t>Payment Terms 🔵</t>
  </si>
  <si>
    <t>LC at sight / LC 30 days / TT in advance / CAD</t>
  </si>
  <si>
    <t>Required inspection body: SGS / BV (Bureau Veritas) / Intertek / None</t>
  </si>
  <si>
    <t>🔵 Blue text/tint</t>
  </si>
  <si>
    <t>Editable input — update as needed</t>
  </si>
  <si>
    <t>🟢 Green text/tint</t>
  </si>
  <si>
    <t>Auto-calculated formula — do not edit</t>
  </si>
  <si>
    <t>🟢 Green margin</t>
  </si>
  <si>
    <t>Margin ≥ 20% — good</t>
  </si>
  <si>
    <t>🟡 Yellow margin</t>
  </si>
  <si>
    <t>Margin 10-20% — acceptable</t>
  </si>
  <si>
    <t>🔴 Red margin</t>
  </si>
  <si>
    <t>Margin &lt; 10% — review pricing</t>
  </si>
  <si>
    <t>🔴 Red expiry</t>
  </si>
  <si>
    <t>Price expires in ≤7 days — update now</t>
  </si>
  <si>
    <t>🔵 Blue port cells</t>
  </si>
  <si>
    <t>Port fields — editable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</si>
</sst>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\-mmm\-yy"/>
  </numFmts>
  <fonts count="26">
    <font>
      <sz val="11.0"/>
      <color/>
      <name val="Arial"/>
      <scheme val="minor"/>
    </font>
    <font>
      <b/>
      <sz val="15.0"/>
      <color rgb="FFF8FAFC"/>
      <name val="Arial"/>
    </font>
    <font/>
    <font>
      <sz val="9.0"/>
      <color rgb="FF94A3B8"/>
      <name val="Arial"/>
    </font>
    <font>
      <b/>
      <sz val="8.0"/>
      <color rgb="FFF8FAFC"/>
      <name val="Arial"/>
    </font>
    <font>
      <b/>
      <sz val="8.0"/>
      <color rgb="FFF1F5F9"/>
      <name val="Arial"/>
    </font>
    <font>
      <sz val="10.0"/>
      <color rgb="FF1E293B"/>
      <name val="Arial"/>
    </font>
    <font>
      <sz val="10.0"/>
      <color rgb="FF1D4ED8"/>
      <name val="Arial"/>
    </font>
    <font>
      <sz val="10.0"/>
      <color rgb="FF166534"/>
      <name val="Arial"/>
    </font>
    <font>
      <b/>
      <sz val="10.0"/>
      <color rgb="FF854D0E"/>
      <name val="Arial"/>
    </font>
    <font>
      <sz val="10.0"/>
      <color rgb="FF1E40AF"/>
      <name val="Arial"/>
    </font>
    <font>
      <i/>
      <sz val="9.0"/>
      <color rgb="FF166534"/>
      <name val="Arial"/>
    </font>
    <font>
      <b/>
      <sz val="10.0"/>
      <color rgb="FF166534"/>
      <name val="Arial"/>
    </font>
    <font>
      <b/>
      <sz val="10.0"/>
      <color rgb="FFDC2626"/>
      <name val="Arial"/>
    </font>
    <font>
      <b/>
      <sz val="9.0"/>
      <color rgb="FF0F172A"/>
      <name val="Arial"/>
    </font>
    <font>
      <b/>
      <sz val="10.0"/>
      <color rgb="FF0F172A"/>
      <name val="Arial"/>
    </font>
    <font>
      <b/>
      <sz val="14.0"/>
      <color rgb="FFF8FAFC"/>
      <name val="Arial"/>
    </font>
    <font>
      <sz val="9.0"/>
      <color rgb="FF9A3412"/>
      <name val="Arial"/>
    </font>
    <font>
      <b/>
      <sz val="10.0"/>
      <color rgb="FF92400E"/>
      <name val="Arial"/>
    </font>
    <font>
      <b/>
      <sz val="10.0"/>
      <color rgb="FF0369A1"/>
      <name val="Arial"/>
    </font>
    <font>
      <b/>
      <sz val="13.0"/>
      <color rgb="FFF8FAFC"/>
      <name val="Arial"/>
    </font>
    <font>
      <b/>
      <sz val="10.0"/>
      <color rgb="FF1E293B"/>
      <name val="Arial"/>
    </font>
    <font>
      <b/>
      <sz val="9.0"/>
      <color rgb="FFF1F5F9"/>
      <name val="Arial"/>
    </font>
    <font>
      <b/>
      <sz val="9.0"/>
      <color rgb="FF475569"/>
      <name val="Arial"/>
    </font>
    <font>
      <b/>
      <sz val="20.0"/>
      <color rgb="FF0F172A"/>
      <name val="Arial"/>
    </font>
    <font>
      <b/>
      <sz val="20.0"/>
      <color rgb="FFDC2626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1E3A5F"/>
        <bgColor rgb="FF1E3A5F"/>
      </patternFill>
    </fill>
    <fill>
      <patternFill patternType="solid">
        <fgColor rgb="FF1A3A2A"/>
        <bgColor rgb="FF1A3A2A"/>
      </patternFill>
    </fill>
    <fill>
      <patternFill patternType="solid">
        <fgColor rgb="FF3A2A0A"/>
        <bgColor rgb="FF3A2A0A"/>
      </patternFill>
    </fill>
    <fill>
      <patternFill patternType="solid">
        <fgColor rgb="FF2D1B4E"/>
        <bgColor rgb="FF2D1B4E"/>
      </patternFill>
    </fill>
    <fill>
      <patternFill patternType="solid">
        <fgColor rgb="FFE8F1FB"/>
        <bgColor rgb="FFE8F1FB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D6E4F7"/>
        <bgColor rgb="FFD6E4F7"/>
      </patternFill>
    </fill>
    <fill>
      <patternFill patternType="solid">
        <fgColor rgb="FFFEE2E2"/>
        <bgColor rgb="FFFEE2E2"/>
      </patternFill>
    </fill>
    <fill>
      <patternFill patternType="solid">
        <fgColor rgb="FFE8FDF2"/>
        <bgColor rgb="FFE8FDF2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FFBEB"/>
        <bgColor rgb="FFFFFBEB"/>
      </patternFill>
    </fill>
    <fill>
      <patternFill patternType="solid">
        <fgColor rgb="FFF0FFF4"/>
        <bgColor rgb="FFF0FFF4"/>
      </patternFill>
    </fill>
    <fill>
      <patternFill patternType="solid">
        <fgColor rgb="FFEDE9FE"/>
        <bgColor rgb="FFEDE9FE"/>
      </patternFill>
    </fill>
    <fill>
      <patternFill patternType="solid">
        <fgColor rgb="FFF5F3FF"/>
        <bgColor rgb="FFF5F3FF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FFF7ED"/>
        <bgColor rgb="FFFFF7ED"/>
      </patternFill>
    </fill>
    <fill>
      <patternFill patternType="solid">
        <fgColor rgb="FFF8FAFC"/>
        <bgColor rgb="FFF8FAFC"/>
      </patternFill>
    </fill>
    <fill>
      <patternFill patternType="solid">
        <fgColor rgb="FFE0F2FE"/>
        <bgColor rgb="FFE0F2FE"/>
      </patternFill>
    </fill>
    <fill>
      <patternFill patternType="solid">
        <fgColor rgb="FFF1F5F9"/>
        <bgColor rgb="FFF1F5F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334155"/>
      </left>
      <top style="thin">
        <color rgb="FF334155"/>
      </top>
      <bottom style="thin">
        <color rgb="FF334155"/>
      </bottom>
    </border>
    <border>
      <top style="thin">
        <color rgb="FF334155"/>
      </top>
      <bottom style="thin">
        <color rgb="FF334155"/>
      </bottom>
    </border>
    <border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/>
      <top style="thin">
        <color rgb="FF334155"/>
      </top>
      <bottom style="thin">
        <color rgb="FF334155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8" fillId="8" fontId="6" numFmtId="0" xfId="0" applyAlignment="1" applyBorder="1" applyFill="1" applyFont="1">
      <alignment horizontal="left" shrinkToFit="0" vertical="center" wrapText="0"/>
    </xf>
    <xf borderId="8" fillId="9" fontId="7" numFmtId="4" xfId="0" applyAlignment="1" applyBorder="1" applyFill="1" applyFont="1" applyNumberFormat="1">
      <alignment horizontal="center" shrinkToFit="0" vertical="center" wrapText="1"/>
    </xf>
    <xf borderId="8" fillId="10" fontId="8" numFmtId="4" xfId="0" applyAlignment="1" applyBorder="1" applyFill="1" applyFont="1" applyNumberFormat="1">
      <alignment horizontal="center" shrinkToFit="0" vertical="center" wrapText="1"/>
    </xf>
    <xf borderId="8" fillId="11" fontId="9" numFmtId="164" xfId="0" applyAlignment="1" applyBorder="1" applyFill="1" applyFont="1" applyNumberFormat="1">
      <alignment horizontal="center" shrinkToFit="0" vertical="center" wrapText="1"/>
    </xf>
    <xf borderId="8" fillId="9" fontId="10" numFmtId="0" xfId="0" applyAlignment="1" applyBorder="1" applyFont="1">
      <alignment horizontal="left" shrinkToFit="0" vertical="center" wrapText="0"/>
    </xf>
    <xf borderId="8" fillId="10" fontId="11" numFmtId="0" xfId="0" applyAlignment="1" applyBorder="1" applyFont="1">
      <alignment horizontal="center" shrinkToFit="0" vertical="center" wrapText="1"/>
    </xf>
    <xf borderId="8" fillId="9" fontId="7" numFmtId="9" xfId="0" applyAlignment="1" applyBorder="1" applyFont="1" applyNumberFormat="1">
      <alignment horizontal="center" shrinkToFit="0" vertical="center" wrapText="1"/>
    </xf>
    <xf borderId="8" fillId="9" fontId="7" numFmtId="165" xfId="0" applyAlignment="1" applyBorder="1" applyFont="1" applyNumberFormat="1">
      <alignment horizontal="center" shrinkToFit="0" vertical="center" wrapText="1"/>
    </xf>
    <xf borderId="8" fillId="12" fontId="8" numFmtId="1" xfId="0" applyAlignment="1" applyBorder="1" applyFill="1" applyFont="1" applyNumberFormat="1">
      <alignment horizontal="center" shrinkToFit="0" vertical="center" wrapText="1"/>
    </xf>
    <xf borderId="8" fillId="12" fontId="12" numFmtId="0" xfId="0" applyAlignment="1" applyBorder="1" applyFont="1">
      <alignment horizontal="center" shrinkToFit="0" vertical="center" wrapText="1"/>
    </xf>
    <xf borderId="8" fillId="13" fontId="6" numFmtId="0" xfId="0" applyAlignment="1" applyBorder="1" applyFill="1" applyFont="1">
      <alignment horizontal="left" shrinkToFit="0" vertical="center" wrapText="0"/>
    </xf>
    <xf borderId="8" fillId="14" fontId="13" numFmtId="164" xfId="0" applyAlignment="1" applyBorder="1" applyFill="1" applyFont="1" applyNumberFormat="1">
      <alignment horizontal="center" shrinkToFit="0" vertical="center" wrapText="1"/>
    </xf>
    <xf borderId="8" fillId="11" fontId="8" numFmtId="1" xfId="0" applyAlignment="1" applyBorder="1" applyFont="1" applyNumberFormat="1">
      <alignment horizontal="center" shrinkToFit="0" vertical="center" wrapText="1"/>
    </xf>
    <xf borderId="8" fillId="15" fontId="6" numFmtId="0" xfId="0" applyAlignment="1" applyBorder="1" applyFill="1" applyFont="1">
      <alignment horizontal="left" shrinkToFit="0" vertical="center" wrapText="0"/>
    </xf>
    <xf borderId="8" fillId="12" fontId="12" numFmtId="164" xfId="0" applyAlignment="1" applyBorder="1" applyFont="1" applyNumberFormat="1">
      <alignment horizontal="center" shrinkToFit="0" vertical="center" wrapText="1"/>
    </xf>
    <xf borderId="8" fillId="16" fontId="6" numFmtId="0" xfId="0" applyAlignment="1" applyBorder="1" applyFill="1" applyFont="1">
      <alignment horizontal="left" shrinkToFit="0" vertical="center" wrapText="0"/>
    </xf>
    <xf borderId="8" fillId="14" fontId="8" numFmtId="1" xfId="0" applyAlignment="1" applyBorder="1" applyFont="1" applyNumberFormat="1">
      <alignment horizontal="center" shrinkToFit="0" vertical="center" wrapText="1"/>
    </xf>
    <xf borderId="8" fillId="17" fontId="6" numFmtId="0" xfId="0" applyAlignment="1" applyBorder="1" applyFill="1" applyFont="1">
      <alignment horizontal="left" shrinkToFit="0" vertical="center" wrapText="0"/>
    </xf>
    <xf borderId="8" fillId="18" fontId="6" numFmtId="0" xfId="0" applyAlignment="1" applyBorder="1" applyFill="1" applyFont="1">
      <alignment horizontal="left" shrinkToFit="0" vertical="center" wrapText="0"/>
    </xf>
    <xf borderId="8" fillId="19" fontId="6" numFmtId="0" xfId="0" applyAlignment="1" applyBorder="1" applyFill="1" applyFont="1">
      <alignment horizontal="left" shrinkToFit="0" vertical="center" wrapText="0"/>
    </xf>
    <xf borderId="8" fillId="12" fontId="6" numFmtId="0" xfId="0" applyAlignment="1" applyBorder="1" applyFont="1">
      <alignment horizontal="left" shrinkToFit="0" vertical="center" wrapText="0"/>
    </xf>
    <xf borderId="8" fillId="20" fontId="6" numFmtId="0" xfId="0" applyAlignment="1" applyBorder="1" applyFill="1" applyFont="1">
      <alignment horizontal="left" shrinkToFit="0" vertical="center" wrapText="0"/>
    </xf>
    <xf borderId="8" fillId="21" fontId="6" numFmtId="0" xfId="0" applyAlignment="1" applyBorder="1" applyFill="1" applyFont="1">
      <alignment horizontal="left" shrinkToFit="0" vertical="center" wrapText="0"/>
    </xf>
    <xf borderId="1" fillId="22" fontId="14" numFmtId="0" xfId="0" applyAlignment="1" applyBorder="1" applyFill="1" applyFont="1">
      <alignment horizontal="left" shrinkToFit="0" vertical="center" wrapText="0"/>
    </xf>
    <xf borderId="8" fillId="22" fontId="15" numFmtId="4" xfId="0" applyAlignment="1" applyBorder="1" applyFont="1" applyNumberFormat="1">
      <alignment horizontal="center" shrinkToFit="0" vertical="center" wrapText="1"/>
    </xf>
    <xf borderId="8" fillId="22" fontId="15" numFmtId="164" xfId="0" applyAlignment="1" applyBorder="1" applyFont="1" applyNumberFormat="1">
      <alignment horizontal="center" shrinkToFit="0" vertical="center" wrapText="1"/>
    </xf>
    <xf borderId="8" fillId="22" fontId="15" numFmtId="3" xfId="0" applyAlignment="1" applyBorder="1" applyFont="1" applyNumberForma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8" fillId="23" fontId="6" numFmtId="0" xfId="0" applyAlignment="1" applyBorder="1" applyFill="1" applyFont="1">
      <alignment horizontal="left" shrinkToFit="0" vertical="center" wrapText="0"/>
    </xf>
    <xf borderId="8" fillId="19" fontId="8" numFmtId="0" xfId="0" applyAlignment="1" applyBorder="1" applyFont="1">
      <alignment horizontal="center" shrinkToFit="0" vertical="center" wrapText="1"/>
    </xf>
    <xf borderId="8" fillId="10" fontId="12" numFmtId="0" xfId="0" applyAlignment="1" applyBorder="1" applyFont="1">
      <alignment horizontal="center" shrinkToFit="0" vertical="center" wrapText="1"/>
    </xf>
    <xf borderId="8" fillId="24" fontId="17" numFmtId="0" xfId="0" applyAlignment="1" applyBorder="1" applyFill="1" applyFon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8" fillId="9" fontId="7" numFmtId="3" xfId="0" applyAlignment="1" applyBorder="1" applyFont="1" applyNumberFormat="1">
      <alignment horizontal="center" shrinkToFit="0" vertical="center" wrapText="1"/>
    </xf>
    <xf borderId="8" fillId="25" fontId="6" numFmtId="0" xfId="0" applyAlignment="1" applyBorder="1" applyFill="1" applyFont="1">
      <alignment horizontal="left" shrinkToFit="0" vertical="center" wrapText="0"/>
    </xf>
    <xf borderId="8" fillId="11" fontId="18" numFmtId="0" xfId="0" applyAlignment="1" applyBorder="1" applyFont="1">
      <alignment horizontal="center" shrinkToFit="0" vertical="center" wrapText="1"/>
    </xf>
    <xf borderId="8" fillId="14" fontId="13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26" fontId="19" numFmtId="0" xfId="0" applyAlignment="1" applyBorder="1" applyFill="1" applyFont="1">
      <alignment horizontal="center" shrinkToFit="0" vertical="center" wrapText="1"/>
    </xf>
    <xf borderId="8" fillId="26" fontId="10" numFmtId="0" xfId="0" applyAlignment="1" applyBorder="1" applyFont="1">
      <alignment horizontal="left" shrinkToFit="0" vertical="center" wrapText="0"/>
    </xf>
    <xf borderId="8" fillId="10" fontId="12" numFmtId="4" xfId="0" applyAlignment="1" applyBorder="1" applyFont="1" applyNumberFormat="1">
      <alignment horizontal="center" shrinkToFit="0" vertical="center" wrapText="1"/>
    </xf>
    <xf borderId="8" fillId="8" fontId="6" numFmtId="1" xfId="0" applyAlignment="1" applyBorder="1" applyFont="1" applyNumberFormat="1">
      <alignment horizontal="center" shrinkToFit="0" vertical="center" wrapText="1"/>
    </xf>
    <xf borderId="8" fillId="13" fontId="6" numFmtId="1" xfId="0" applyAlignment="1" applyBorder="1" applyFont="1" applyNumberFormat="1">
      <alignment horizontal="center" shrinkToFit="0" vertical="center" wrapText="1"/>
    </xf>
    <xf borderId="8" fillId="16" fontId="6" numFmtId="1" xfId="0" applyAlignment="1" applyBorder="1" applyFont="1" applyNumberFormat="1">
      <alignment horizontal="center" shrinkToFit="0" vertical="center" wrapText="1"/>
    </xf>
    <xf borderId="8" fillId="15" fontId="6" numFmtId="1" xfId="0" applyAlignment="1" applyBorder="1" applyFont="1" applyNumberFormat="1">
      <alignment horizontal="center" shrinkToFit="0" vertical="center" wrapText="1"/>
    </xf>
    <xf borderId="8" fillId="18" fontId="6" numFmtId="1" xfId="0" applyAlignment="1" applyBorder="1" applyFont="1" applyNumberFormat="1">
      <alignment horizontal="center" shrinkToFit="0" vertical="center" wrapText="1"/>
    </xf>
    <xf borderId="8" fillId="17" fontId="6" numFmtId="1" xfId="0" applyAlignment="1" applyBorder="1" applyFont="1" applyNumberFormat="1">
      <alignment horizontal="center" shrinkToFit="0" vertical="center" wrapText="1"/>
    </xf>
    <xf borderId="8" fillId="12" fontId="6" numFmtId="1" xfId="0" applyAlignment="1" applyBorder="1" applyFont="1" applyNumberFormat="1">
      <alignment horizontal="center" shrinkToFit="0" vertical="center" wrapText="1"/>
    </xf>
    <xf borderId="8" fillId="19" fontId="6" numFmtId="1" xfId="0" applyAlignment="1" applyBorder="1" applyFont="1" applyNumberFormat="1">
      <alignment horizontal="center" shrinkToFit="0" vertical="center" wrapText="1"/>
    </xf>
    <xf borderId="8" fillId="21" fontId="6" numFmtId="1" xfId="0" applyAlignment="1" applyBorder="1" applyFont="1" applyNumberFormat="1">
      <alignment horizontal="center" shrinkToFit="0" vertical="center" wrapText="1"/>
    </xf>
    <xf borderId="8" fillId="20" fontId="6" numFmtId="1" xfId="0" applyAlignment="1" applyBorder="1" applyFont="1" applyNumberForma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8" fillId="22" fontId="14" numFmtId="0" xfId="0" applyAlignment="1" applyBorder="1" applyFont="1">
      <alignment horizontal="center" shrinkToFit="0" vertical="center" wrapText="1"/>
    </xf>
    <xf borderId="8" fillId="9" fontId="21" numFmtId="0" xfId="0" applyAlignment="1" applyBorder="1" applyFont="1">
      <alignment horizontal="left" shrinkToFit="0" vertical="center" wrapText="0"/>
    </xf>
    <xf borderId="8" fillId="23" fontId="6" numFmtId="0" xfId="0" applyAlignment="1" applyBorder="1" applyFont="1">
      <alignment horizontal="center" shrinkToFit="0" vertical="center" wrapText="1"/>
    </xf>
    <xf borderId="8" fillId="25" fontId="6" numFmtId="0" xfId="0" applyAlignment="1" applyBorder="1" applyFont="1">
      <alignment horizontal="center" shrinkToFit="0" vertical="center" wrapText="1"/>
    </xf>
    <xf borderId="7" fillId="3" fontId="22" numFmtId="0" xfId="0" applyAlignment="1" applyBorder="1" applyFont="1">
      <alignment horizontal="center" shrinkToFit="0" vertical="center" wrapText="1"/>
    </xf>
    <xf borderId="10" fillId="27" fontId="23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0" fillId="0" fontId="24" numFmtId="1" xfId="0" applyAlignment="1" applyBorder="1" applyFont="1" applyNumberFormat="1">
      <alignment horizontal="center" shrinkToFit="0" vertical="center" wrapText="1"/>
    </xf>
    <xf borderId="10" fillId="0" fontId="24" numFmtId="4" xfId="0" applyAlignment="1" applyBorder="1" applyFont="1" applyNumberFormat="1">
      <alignment horizontal="center" shrinkToFit="0" vertical="center" wrapText="1"/>
    </xf>
    <xf borderId="10" fillId="0" fontId="24" numFmtId="164" xfId="0" applyAlignment="1" applyBorder="1" applyFont="1" applyNumberFormat="1">
      <alignment horizontal="center" shrinkToFit="0" vertical="center" wrapText="1"/>
    </xf>
    <xf borderId="10" fillId="0" fontId="24" numFmtId="9" xfId="0" applyAlignment="1" applyBorder="1" applyFont="1" applyNumberFormat="1">
      <alignment horizontal="center" shrinkToFit="0" vertical="center" wrapText="1"/>
    </xf>
    <xf borderId="10" fillId="14" fontId="25" numFmtId="1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28.0"/>
    <col customWidth="1" min="4" max="4" width="12.0"/>
    <col customWidth="1" min="5" max="5" width="8.0"/>
    <col customWidth="1" min="6" max="8" width="13.0"/>
    <col customWidth="1" min="9" max="9" width="12.0"/>
    <col customWidth="1" min="10" max="10" width="13.0"/>
    <col customWidth="1" min="11" max="11" width="10.0"/>
    <col customWidth="1" min="12" max="13" width="18.0"/>
    <col customWidth="1" min="14" max="14" width="16.0"/>
    <col customWidth="1" min="15" max="15" width="12.0"/>
    <col customWidth="1" min="16" max="16" width="10.0"/>
    <col customWidth="1" min="17" max="17" width="14.0"/>
    <col customWidth="1" min="18" max="18" width="12.0"/>
    <col customWidth="1" min="19" max="19" width="13.0"/>
    <col customWidth="1" min="20" max="22" width="14.0"/>
    <col customWidth="1" min="23" max="23" width="12.0"/>
    <col customWidth="1" min="24" max="24" width="8.0"/>
    <col customWidth="1" min="25" max="25" width="13.0"/>
    <col customWidth="1" min="26" max="26" width="22.0"/>
    <col customWidth="1" min="27" max="27" width="14.0"/>
    <col customWidth="1" min="28" max="28" width="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15.75" customHeight="1">
      <c r="A3" s="5" t="s">
        <v>2</v>
      </c>
      <c r="B3" s="6"/>
      <c r="C3" s="6"/>
      <c r="D3" s="6"/>
      <c r="E3" s="7"/>
      <c r="F3" s="8" t="s">
        <v>3</v>
      </c>
      <c r="G3" s="6"/>
      <c r="H3" s="6"/>
      <c r="I3" s="6"/>
      <c r="J3" s="6"/>
      <c r="K3" s="7"/>
      <c r="L3" s="9" t="s">
        <v>4</v>
      </c>
      <c r="M3" s="6"/>
      <c r="N3" s="6"/>
      <c r="O3" s="6"/>
      <c r="P3" s="6"/>
      <c r="Q3" s="7"/>
      <c r="R3" s="10" t="s">
        <v>5</v>
      </c>
      <c r="S3" s="6"/>
      <c r="T3" s="6"/>
      <c r="U3" s="7"/>
      <c r="V3" s="11" t="s">
        <v>6</v>
      </c>
      <c r="W3" s="6"/>
      <c r="X3" s="7"/>
      <c r="Y3" s="5" t="s">
        <v>7</v>
      </c>
      <c r="Z3" s="6"/>
      <c r="AA3" s="6"/>
      <c r="AB3" s="7"/>
    </row>
    <row r="4" ht="31.5" customHeight="1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3" t="s">
        <v>14</v>
      </c>
      <c r="H4" s="13" t="s">
        <v>15</v>
      </c>
      <c r="I4" s="13" t="s">
        <v>16</v>
      </c>
      <c r="J4" s="13" t="s">
        <v>17</v>
      </c>
      <c r="K4" s="13" t="s">
        <v>18</v>
      </c>
      <c r="L4" s="14" t="s">
        <v>19</v>
      </c>
      <c r="M4" s="14" t="s">
        <v>20</v>
      </c>
      <c r="N4" s="14" t="s">
        <v>21</v>
      </c>
      <c r="O4" s="14" t="s">
        <v>22</v>
      </c>
      <c r="P4" s="14" t="s">
        <v>23</v>
      </c>
      <c r="Q4" s="15" t="s">
        <v>24</v>
      </c>
      <c r="R4" s="15" t="s">
        <v>25</v>
      </c>
      <c r="S4" s="15" t="s">
        <v>26</v>
      </c>
      <c r="T4" s="15" t="s">
        <v>27</v>
      </c>
      <c r="U4" s="16" t="s">
        <v>28</v>
      </c>
      <c r="V4" s="16" t="s">
        <v>29</v>
      </c>
      <c r="W4" s="16" t="s">
        <v>30</v>
      </c>
      <c r="X4" s="12" t="s">
        <v>31</v>
      </c>
      <c r="Y4" s="12" t="s">
        <v>32</v>
      </c>
      <c r="Z4" s="12" t="s">
        <v>33</v>
      </c>
      <c r="AA4" s="12" t="s">
        <v>34</v>
      </c>
      <c r="AB4" s="12" t="s">
        <v>35</v>
      </c>
    </row>
    <row r="5" ht="18.0" customHeight="1">
      <c r="A5" s="17" t="s">
        <v>36</v>
      </c>
      <c r="B5" s="17" t="s">
        <v>37</v>
      </c>
      <c r="C5" s="17" t="s">
        <v>38</v>
      </c>
      <c r="D5" s="17" t="s">
        <v>39</v>
      </c>
      <c r="E5" s="17" t="s">
        <v>40</v>
      </c>
      <c r="F5" s="18">
        <v>2580.0</v>
      </c>
      <c r="G5" s="18">
        <v>2840.0</v>
      </c>
      <c r="H5" s="18">
        <v>2720.0</v>
      </c>
      <c r="I5" s="18">
        <v>45.0</v>
      </c>
      <c r="J5" s="19" t="str">
        <f t="shared" ref="J5:J29" si="1">G5+I5</f>
        <v>2,885.00</v>
      </c>
      <c r="K5" s="20" t="str">
        <f t="shared" ref="K5:K29" si="2">IFERROR(ROUND((G5-F5)/F5,4),0)</f>
        <v>10.1%</v>
      </c>
      <c r="L5" s="21" t="s">
        <v>41</v>
      </c>
      <c r="M5" s="21" t="s">
        <v>42</v>
      </c>
      <c r="N5" s="22" t="str">
        <f t="shared" ref="N5:N29" si="3">L5&amp;" → "&amp;M5</f>
        <v>Jebel Ali, UAE → Alexandria, Egypt</v>
      </c>
      <c r="O5" s="17">
        <v>7.0</v>
      </c>
      <c r="P5" s="17" t="s">
        <v>43</v>
      </c>
      <c r="Q5" s="17" t="s">
        <v>44</v>
      </c>
      <c r="R5" s="23">
        <v>0.05</v>
      </c>
      <c r="S5" s="19" t="str">
        <f t="shared" ref="S5:S29" si="4">J5*(1+R5)</f>
        <v>3,029.25</v>
      </c>
      <c r="T5" s="17" t="s">
        <v>45</v>
      </c>
      <c r="U5" s="24">
        <v>46149.0</v>
      </c>
      <c r="V5" s="24">
        <v>46184.0</v>
      </c>
      <c r="W5" s="25" t="str">
        <f t="shared" ref="W5:W29" si="5">V5-TODAY()</f>
        <v>29</v>
      </c>
      <c r="X5" s="17">
        <v>10.0</v>
      </c>
      <c r="Y5" s="18">
        <v>50000.0</v>
      </c>
      <c r="Z5" s="17" t="s">
        <v>46</v>
      </c>
      <c r="AA5" s="17" t="s">
        <v>47</v>
      </c>
      <c r="AB5" s="26" t="s">
        <v>48</v>
      </c>
    </row>
    <row r="6" ht="18.0" customHeight="1">
      <c r="A6" s="27" t="s">
        <v>36</v>
      </c>
      <c r="B6" s="27" t="s">
        <v>49</v>
      </c>
      <c r="C6" s="27" t="s">
        <v>50</v>
      </c>
      <c r="D6" s="27" t="s">
        <v>39</v>
      </c>
      <c r="E6" s="27" t="s">
        <v>40</v>
      </c>
      <c r="F6" s="18">
        <v>2820.0</v>
      </c>
      <c r="G6" s="18">
        <v>3100.0</v>
      </c>
      <c r="H6" s="18">
        <v>2950.0</v>
      </c>
      <c r="I6" s="18">
        <v>55.0</v>
      </c>
      <c r="J6" s="19" t="str">
        <f t="shared" si="1"/>
        <v>3,155.00</v>
      </c>
      <c r="K6" s="28" t="str">
        <f t="shared" si="2"/>
        <v>9.9%</v>
      </c>
      <c r="L6" s="21" t="s">
        <v>41</v>
      </c>
      <c r="M6" s="21" t="s">
        <v>51</v>
      </c>
      <c r="N6" s="22" t="str">
        <f t="shared" si="3"/>
        <v>Jebel Ali, UAE → Port Said, Egypt</v>
      </c>
      <c r="O6" s="27">
        <v>10.0</v>
      </c>
      <c r="P6" s="27" t="s">
        <v>43</v>
      </c>
      <c r="Q6" s="27" t="s">
        <v>44</v>
      </c>
      <c r="R6" s="23">
        <v>0.05</v>
      </c>
      <c r="S6" s="19" t="str">
        <f t="shared" si="4"/>
        <v>3,312.75</v>
      </c>
      <c r="T6" s="27" t="s">
        <v>45</v>
      </c>
      <c r="U6" s="24">
        <v>46153.0</v>
      </c>
      <c r="V6" s="24">
        <v>46184.0</v>
      </c>
      <c r="W6" s="25" t="str">
        <f t="shared" si="5"/>
        <v>29</v>
      </c>
      <c r="X6" s="27">
        <v>20.0</v>
      </c>
      <c r="Y6" s="18">
        <v>80000.0</v>
      </c>
      <c r="Z6" s="27" t="s">
        <v>52</v>
      </c>
      <c r="AA6" s="27" t="s">
        <v>53</v>
      </c>
      <c r="AB6" s="26" t="s">
        <v>48</v>
      </c>
    </row>
    <row r="7" ht="18.0" customHeight="1">
      <c r="A7" s="17" t="s">
        <v>36</v>
      </c>
      <c r="B7" s="17" t="s">
        <v>54</v>
      </c>
      <c r="C7" s="17" t="s">
        <v>55</v>
      </c>
      <c r="D7" s="17" t="s">
        <v>39</v>
      </c>
      <c r="E7" s="17" t="s">
        <v>40</v>
      </c>
      <c r="F7" s="18">
        <v>3100.0</v>
      </c>
      <c r="G7" s="18">
        <v>3400.0</v>
      </c>
      <c r="H7" s="18">
        <v>3220.0</v>
      </c>
      <c r="I7" s="18">
        <v>65.0</v>
      </c>
      <c r="J7" s="19" t="str">
        <f t="shared" si="1"/>
        <v>3,465.00</v>
      </c>
      <c r="K7" s="28" t="str">
        <f t="shared" si="2"/>
        <v>9.7%</v>
      </c>
      <c r="L7" s="21" t="s">
        <v>56</v>
      </c>
      <c r="M7" s="21" t="s">
        <v>41</v>
      </c>
      <c r="N7" s="22" t="str">
        <f t="shared" si="3"/>
        <v>Hamburg, Germany → Jebel Ali, UAE</v>
      </c>
      <c r="O7" s="17">
        <v>12.0</v>
      </c>
      <c r="P7" s="17" t="s">
        <v>43</v>
      </c>
      <c r="Q7" s="17" t="s">
        <v>57</v>
      </c>
      <c r="R7" s="23">
        <v>0.0</v>
      </c>
      <c r="S7" s="19" t="str">
        <f t="shared" si="4"/>
        <v>3,465.00</v>
      </c>
      <c r="T7" s="17" t="s">
        <v>58</v>
      </c>
      <c r="U7" s="24">
        <v>46154.0</v>
      </c>
      <c r="V7" s="24">
        <v>46168.0</v>
      </c>
      <c r="W7" s="29" t="str">
        <f t="shared" si="5"/>
        <v>13</v>
      </c>
      <c r="X7" s="17">
        <v>20.0</v>
      </c>
      <c r="Y7" s="18">
        <v>80000.0</v>
      </c>
      <c r="Z7" s="17" t="s">
        <v>59</v>
      </c>
      <c r="AA7" s="17" t="s">
        <v>60</v>
      </c>
      <c r="AB7" s="26" t="s">
        <v>48</v>
      </c>
    </row>
    <row r="8" ht="18.0" customHeight="1">
      <c r="A8" s="27" t="s">
        <v>61</v>
      </c>
      <c r="B8" s="27" t="s">
        <v>62</v>
      </c>
      <c r="C8" s="27" t="s">
        <v>63</v>
      </c>
      <c r="D8" s="27" t="s">
        <v>39</v>
      </c>
      <c r="E8" s="27" t="s">
        <v>40</v>
      </c>
      <c r="F8" s="18">
        <v>8400.0</v>
      </c>
      <c r="G8" s="18">
        <v>9200.0</v>
      </c>
      <c r="H8" s="18">
        <v>8800.0</v>
      </c>
      <c r="I8" s="18">
        <v>75.0</v>
      </c>
      <c r="J8" s="19" t="str">
        <f t="shared" si="1"/>
        <v>9,275.00</v>
      </c>
      <c r="K8" s="28" t="str">
        <f t="shared" si="2"/>
        <v>9.5%</v>
      </c>
      <c r="L8" s="21" t="s">
        <v>41</v>
      </c>
      <c r="M8" s="21" t="s">
        <v>64</v>
      </c>
      <c r="N8" s="22" t="str">
        <f t="shared" si="3"/>
        <v>Jebel Ali, UAE → Haifa, Israel</v>
      </c>
      <c r="O8" s="27">
        <v>8.0</v>
      </c>
      <c r="P8" s="27" t="s">
        <v>43</v>
      </c>
      <c r="Q8" s="27" t="s">
        <v>65</v>
      </c>
      <c r="R8" s="23">
        <v>0.0</v>
      </c>
      <c r="S8" s="19" t="str">
        <f t="shared" si="4"/>
        <v>9,275.00</v>
      </c>
      <c r="T8" s="27" t="s">
        <v>66</v>
      </c>
      <c r="U8" s="24">
        <v>46153.0</v>
      </c>
      <c r="V8" s="24">
        <v>46175.0</v>
      </c>
      <c r="W8" s="25" t="str">
        <f t="shared" si="5"/>
        <v>20</v>
      </c>
      <c r="X8" s="27">
        <v>5.0</v>
      </c>
      <c r="Y8" s="18">
        <v>50000.0</v>
      </c>
      <c r="Z8" s="27" t="s">
        <v>67</v>
      </c>
      <c r="AA8" s="27" t="s">
        <v>68</v>
      </c>
      <c r="AB8" s="26" t="s">
        <v>48</v>
      </c>
    </row>
    <row r="9" ht="18.0" customHeight="1">
      <c r="A9" s="17" t="s">
        <v>61</v>
      </c>
      <c r="B9" s="17" t="s">
        <v>69</v>
      </c>
      <c r="C9" s="17" t="s">
        <v>70</v>
      </c>
      <c r="D9" s="17" t="s">
        <v>39</v>
      </c>
      <c r="E9" s="17" t="s">
        <v>71</v>
      </c>
      <c r="F9" s="18">
        <v>32.0</v>
      </c>
      <c r="G9" s="18">
        <v>38.0</v>
      </c>
      <c r="H9" s="18">
        <v>35.0</v>
      </c>
      <c r="I9" s="18">
        <v>2.0</v>
      </c>
      <c r="J9" s="19" t="str">
        <f t="shared" si="1"/>
        <v>40.00</v>
      </c>
      <c r="K9" s="20" t="str">
        <f t="shared" si="2"/>
        <v>18.8%</v>
      </c>
      <c r="L9" s="21" t="s">
        <v>41</v>
      </c>
      <c r="M9" s="21" t="s">
        <v>72</v>
      </c>
      <c r="N9" s="22" t="str">
        <f t="shared" si="3"/>
        <v>Jebel Ali, UAE → Aqaba, Jordan</v>
      </c>
      <c r="O9" s="17">
        <v>8.0</v>
      </c>
      <c r="P9" s="17" t="s">
        <v>43</v>
      </c>
      <c r="Q9" s="17" t="s">
        <v>65</v>
      </c>
      <c r="R9" s="23">
        <v>0.0</v>
      </c>
      <c r="S9" s="19" t="str">
        <f t="shared" si="4"/>
        <v>40.00</v>
      </c>
      <c r="T9" s="17" t="s">
        <v>66</v>
      </c>
      <c r="U9" s="24">
        <v>46149.0</v>
      </c>
      <c r="V9" s="24">
        <v>46175.0</v>
      </c>
      <c r="W9" s="25" t="str">
        <f t="shared" si="5"/>
        <v>20</v>
      </c>
      <c r="X9" s="17">
        <v>500.0</v>
      </c>
      <c r="Y9" s="18">
        <v>20000.0</v>
      </c>
      <c r="Z9" s="17" t="s">
        <v>73</v>
      </c>
      <c r="AA9" s="17" t="s">
        <v>74</v>
      </c>
      <c r="AB9" s="26" t="s">
        <v>48</v>
      </c>
    </row>
    <row r="10" ht="18.0" customHeight="1">
      <c r="A10" s="27" t="s">
        <v>75</v>
      </c>
      <c r="B10" s="27" t="s">
        <v>76</v>
      </c>
      <c r="C10" s="27" t="s">
        <v>77</v>
      </c>
      <c r="D10" s="27" t="s">
        <v>39</v>
      </c>
      <c r="E10" s="27" t="s">
        <v>40</v>
      </c>
      <c r="F10" s="18">
        <v>8900.0</v>
      </c>
      <c r="G10" s="18">
        <v>9800.0</v>
      </c>
      <c r="H10" s="18">
        <v>9300.0</v>
      </c>
      <c r="I10" s="18">
        <v>90.0</v>
      </c>
      <c r="J10" s="19" t="str">
        <f t="shared" si="1"/>
        <v>9,890.00</v>
      </c>
      <c r="K10" s="20" t="str">
        <f t="shared" si="2"/>
        <v>10.1%</v>
      </c>
      <c r="L10" s="21" t="s">
        <v>78</v>
      </c>
      <c r="M10" s="21" t="s">
        <v>41</v>
      </c>
      <c r="N10" s="22" t="str">
        <f t="shared" si="3"/>
        <v>Antwerp, Belgium → Jebel Ali, UAE</v>
      </c>
      <c r="O10" s="27">
        <v>10.0</v>
      </c>
      <c r="P10" s="27" t="s">
        <v>79</v>
      </c>
      <c r="Q10" s="27" t="s">
        <v>80</v>
      </c>
      <c r="R10" s="23">
        <v>0.0</v>
      </c>
      <c r="S10" s="19" t="str">
        <f t="shared" si="4"/>
        <v>9,890.00</v>
      </c>
      <c r="T10" s="27" t="s">
        <v>45</v>
      </c>
      <c r="U10" s="24">
        <v>46148.0</v>
      </c>
      <c r="V10" s="24">
        <v>46168.0</v>
      </c>
      <c r="W10" s="29" t="str">
        <f t="shared" si="5"/>
        <v>13</v>
      </c>
      <c r="X10" s="27">
        <v>5.0</v>
      </c>
      <c r="Y10" s="18">
        <v>50000.0</v>
      </c>
      <c r="Z10" s="27" t="s">
        <v>81</v>
      </c>
      <c r="AA10" s="27" t="s">
        <v>60</v>
      </c>
      <c r="AB10" s="26" t="s">
        <v>48</v>
      </c>
    </row>
    <row r="11" ht="18.0" customHeight="1">
      <c r="A11" s="30" t="s">
        <v>82</v>
      </c>
      <c r="B11" s="30" t="s">
        <v>83</v>
      </c>
      <c r="C11" s="30" t="s">
        <v>84</v>
      </c>
      <c r="D11" s="30" t="s">
        <v>85</v>
      </c>
      <c r="E11" s="30" t="s">
        <v>12</v>
      </c>
      <c r="F11" s="18">
        <v>3.8</v>
      </c>
      <c r="G11" s="18">
        <v>4.8</v>
      </c>
      <c r="H11" s="18">
        <v>4.2</v>
      </c>
      <c r="I11" s="18">
        <v>0.3</v>
      </c>
      <c r="J11" s="19" t="str">
        <f t="shared" si="1"/>
        <v>5.10</v>
      </c>
      <c r="K11" s="31" t="str">
        <f t="shared" si="2"/>
        <v>26.3%</v>
      </c>
      <c r="L11" s="21" t="s">
        <v>41</v>
      </c>
      <c r="M11" s="21" t="s">
        <v>86</v>
      </c>
      <c r="N11" s="22" t="str">
        <f t="shared" si="3"/>
        <v>Jebel Ali, UAE → Dubai, UAE</v>
      </c>
      <c r="O11" s="30">
        <v>3.0</v>
      </c>
      <c r="P11" s="30" t="s">
        <v>87</v>
      </c>
      <c r="Q11" s="30" t="s">
        <v>88</v>
      </c>
      <c r="R11" s="23">
        <v>0.05</v>
      </c>
      <c r="S11" s="19" t="str">
        <f t="shared" si="4"/>
        <v>5.36</v>
      </c>
      <c r="T11" s="30" t="s">
        <v>66</v>
      </c>
      <c r="U11" s="24">
        <v>46152.0</v>
      </c>
      <c r="V11" s="24">
        <v>46214.0</v>
      </c>
      <c r="W11" s="25" t="str">
        <f t="shared" si="5"/>
        <v>59</v>
      </c>
      <c r="X11" s="30">
        <v>1000.0</v>
      </c>
      <c r="Y11" s="18">
        <v>5000.0</v>
      </c>
      <c r="Z11" s="30" t="s">
        <v>89</v>
      </c>
      <c r="AA11" s="30" t="s">
        <v>74</v>
      </c>
      <c r="AB11" s="26" t="s">
        <v>48</v>
      </c>
    </row>
    <row r="12" ht="18.0" customHeight="1">
      <c r="A12" s="32" t="s">
        <v>82</v>
      </c>
      <c r="B12" s="32" t="s">
        <v>90</v>
      </c>
      <c r="C12" s="32" t="s">
        <v>91</v>
      </c>
      <c r="D12" s="32" t="s">
        <v>85</v>
      </c>
      <c r="E12" s="32" t="s">
        <v>92</v>
      </c>
      <c r="F12" s="18">
        <v>310.0</v>
      </c>
      <c r="G12" s="18">
        <v>380.0</v>
      </c>
      <c r="H12" s="18">
        <v>345.0</v>
      </c>
      <c r="I12" s="18">
        <v>0.0</v>
      </c>
      <c r="J12" s="19" t="str">
        <f t="shared" si="1"/>
        <v>380.00</v>
      </c>
      <c r="K12" s="31" t="str">
        <f t="shared" si="2"/>
        <v>22.6%</v>
      </c>
      <c r="L12" s="21" t="s">
        <v>86</v>
      </c>
      <c r="M12" s="21" t="s">
        <v>86</v>
      </c>
      <c r="N12" s="22" t="str">
        <f t="shared" si="3"/>
        <v>Dubai, UAE → Dubai, UAE</v>
      </c>
      <c r="O12" s="32">
        <v>2.0</v>
      </c>
      <c r="P12" s="32" t="s">
        <v>87</v>
      </c>
      <c r="Q12" s="32" t="s">
        <v>88</v>
      </c>
      <c r="R12" s="23">
        <v>0.05</v>
      </c>
      <c r="S12" s="19" t="str">
        <f t="shared" si="4"/>
        <v>399.00</v>
      </c>
      <c r="T12" s="32" t="s">
        <v>66</v>
      </c>
      <c r="U12" s="24">
        <v>46149.0</v>
      </c>
      <c r="V12" s="24">
        <v>46161.0</v>
      </c>
      <c r="W12" s="33" t="str">
        <f t="shared" si="5"/>
        <v>6</v>
      </c>
      <c r="X12" s="32">
        <v>10.0</v>
      </c>
      <c r="Y12" s="18">
        <v>5000.0</v>
      </c>
      <c r="Z12" s="32" t="s">
        <v>93</v>
      </c>
      <c r="AA12" s="32" t="s">
        <v>74</v>
      </c>
      <c r="AB12" s="26" t="s">
        <v>48</v>
      </c>
    </row>
    <row r="13" ht="18.0" customHeight="1">
      <c r="A13" s="30" t="s">
        <v>94</v>
      </c>
      <c r="B13" s="30" t="s">
        <v>95</v>
      </c>
      <c r="C13" s="30" t="s">
        <v>96</v>
      </c>
      <c r="D13" s="30" t="s">
        <v>85</v>
      </c>
      <c r="E13" s="30" t="s">
        <v>97</v>
      </c>
      <c r="F13" s="18">
        <v>48.0</v>
      </c>
      <c r="G13" s="18">
        <v>62.0</v>
      </c>
      <c r="H13" s="18">
        <v>55.0</v>
      </c>
      <c r="I13" s="18">
        <v>8.0</v>
      </c>
      <c r="J13" s="19" t="str">
        <f t="shared" si="1"/>
        <v>70.00</v>
      </c>
      <c r="K13" s="31" t="str">
        <f t="shared" si="2"/>
        <v>29.2%</v>
      </c>
      <c r="L13" s="21" t="s">
        <v>98</v>
      </c>
      <c r="M13" s="21" t="s">
        <v>41</v>
      </c>
      <c r="N13" s="22" t="str">
        <f t="shared" si="3"/>
        <v>Genoa, Italy → Jebel Ali, UAE</v>
      </c>
      <c r="O13" s="30">
        <v>5.0</v>
      </c>
      <c r="P13" s="30" t="s">
        <v>79</v>
      </c>
      <c r="Q13" s="30" t="s">
        <v>99</v>
      </c>
      <c r="R13" s="23">
        <v>0.05</v>
      </c>
      <c r="S13" s="19" t="str">
        <f t="shared" si="4"/>
        <v>73.50</v>
      </c>
      <c r="T13" s="30" t="s">
        <v>100</v>
      </c>
      <c r="U13" s="24">
        <v>46151.0</v>
      </c>
      <c r="V13" s="24">
        <v>46184.0</v>
      </c>
      <c r="W13" s="25" t="str">
        <f t="shared" si="5"/>
        <v>29</v>
      </c>
      <c r="X13" s="30">
        <v>100.0</v>
      </c>
      <c r="Y13" s="18">
        <v>5000.0</v>
      </c>
      <c r="Z13" s="30" t="s">
        <v>101</v>
      </c>
      <c r="AA13" s="30" t="s">
        <v>74</v>
      </c>
      <c r="AB13" s="26" t="s">
        <v>48</v>
      </c>
    </row>
    <row r="14" ht="18.0" customHeight="1">
      <c r="A14" s="32" t="s">
        <v>102</v>
      </c>
      <c r="B14" s="32" t="s">
        <v>103</v>
      </c>
      <c r="C14" s="32" t="s">
        <v>104</v>
      </c>
      <c r="D14" s="32" t="s">
        <v>85</v>
      </c>
      <c r="E14" s="32" t="s">
        <v>71</v>
      </c>
      <c r="F14" s="18">
        <v>21.0</v>
      </c>
      <c r="G14" s="18">
        <v>28.0</v>
      </c>
      <c r="H14" s="18">
        <v>25.0</v>
      </c>
      <c r="I14" s="18">
        <v>1.5</v>
      </c>
      <c r="J14" s="19" t="str">
        <f t="shared" si="1"/>
        <v>29.50</v>
      </c>
      <c r="K14" s="31" t="str">
        <f t="shared" si="2"/>
        <v>33.3%</v>
      </c>
      <c r="L14" s="21" t="s">
        <v>41</v>
      </c>
      <c r="M14" s="21" t="s">
        <v>72</v>
      </c>
      <c r="N14" s="22" t="str">
        <f t="shared" si="3"/>
        <v>Jebel Ali, UAE → Aqaba, Jordan</v>
      </c>
      <c r="O14" s="32">
        <v>4.0</v>
      </c>
      <c r="P14" s="32" t="s">
        <v>87</v>
      </c>
      <c r="Q14" s="32" t="s">
        <v>105</v>
      </c>
      <c r="R14" s="23">
        <v>0.05</v>
      </c>
      <c r="S14" s="19" t="str">
        <f t="shared" si="4"/>
        <v>30.98</v>
      </c>
      <c r="T14" s="32" t="s">
        <v>66</v>
      </c>
      <c r="U14" s="24">
        <v>46151.0</v>
      </c>
      <c r="V14" s="24">
        <v>46184.0</v>
      </c>
      <c r="W14" s="25" t="str">
        <f t="shared" si="5"/>
        <v>29</v>
      </c>
      <c r="X14" s="32">
        <v>500.0</v>
      </c>
      <c r="Y14" s="18">
        <v>5000.0</v>
      </c>
      <c r="Z14" s="32" t="s">
        <v>106</v>
      </c>
      <c r="AA14" s="32" t="s">
        <v>74</v>
      </c>
      <c r="AB14" s="26" t="s">
        <v>48</v>
      </c>
    </row>
    <row r="15" ht="18.0" customHeight="1">
      <c r="A15" s="30" t="s">
        <v>107</v>
      </c>
      <c r="B15" s="30" t="s">
        <v>108</v>
      </c>
      <c r="C15" s="30" t="s">
        <v>109</v>
      </c>
      <c r="D15" s="30" t="s">
        <v>85</v>
      </c>
      <c r="E15" s="30" t="s">
        <v>40</v>
      </c>
      <c r="F15" s="18">
        <v>2900.0</v>
      </c>
      <c r="G15" s="18">
        <v>3200.0</v>
      </c>
      <c r="H15" s="18">
        <v>3050.0</v>
      </c>
      <c r="I15" s="18">
        <v>48.0</v>
      </c>
      <c r="J15" s="19" t="str">
        <f t="shared" si="1"/>
        <v>3,248.00</v>
      </c>
      <c r="K15" s="20" t="str">
        <f t="shared" si="2"/>
        <v>10.3%</v>
      </c>
      <c r="L15" s="21" t="s">
        <v>110</v>
      </c>
      <c r="M15" s="21" t="s">
        <v>42</v>
      </c>
      <c r="N15" s="22" t="str">
        <f t="shared" si="3"/>
        <v>Istanbul, Turkey → Alexandria, Egypt</v>
      </c>
      <c r="O15" s="30">
        <v>8.0</v>
      </c>
      <c r="P15" s="30" t="s">
        <v>43</v>
      </c>
      <c r="Q15" s="30" t="s">
        <v>111</v>
      </c>
      <c r="R15" s="23">
        <v>0.05</v>
      </c>
      <c r="S15" s="19" t="str">
        <f t="shared" si="4"/>
        <v>3,410.40</v>
      </c>
      <c r="T15" s="30" t="s">
        <v>45</v>
      </c>
      <c r="U15" s="24">
        <v>46148.0</v>
      </c>
      <c r="V15" s="24">
        <v>46175.0</v>
      </c>
      <c r="W15" s="25" t="str">
        <f t="shared" si="5"/>
        <v>20</v>
      </c>
      <c r="X15" s="30">
        <v>10.0</v>
      </c>
      <c r="Y15" s="18">
        <v>50000.0</v>
      </c>
      <c r="Z15" s="30" t="s">
        <v>112</v>
      </c>
      <c r="AA15" s="30" t="s">
        <v>53</v>
      </c>
      <c r="AB15" s="26" t="s">
        <v>48</v>
      </c>
    </row>
    <row r="16" ht="18.0" customHeight="1">
      <c r="A16" s="34" t="s">
        <v>113</v>
      </c>
      <c r="B16" s="34" t="s">
        <v>114</v>
      </c>
      <c r="C16" s="34" t="s">
        <v>115</v>
      </c>
      <c r="D16" s="34" t="s">
        <v>116</v>
      </c>
      <c r="E16" s="34" t="s">
        <v>117</v>
      </c>
      <c r="F16" s="18">
        <v>3.9</v>
      </c>
      <c r="G16" s="18">
        <v>4.92</v>
      </c>
      <c r="H16" s="18">
        <v>4.5</v>
      </c>
      <c r="I16" s="18">
        <v>0.15</v>
      </c>
      <c r="J16" s="19" t="str">
        <f t="shared" si="1"/>
        <v>5.07</v>
      </c>
      <c r="K16" s="31" t="str">
        <f t="shared" si="2"/>
        <v>26.2%</v>
      </c>
      <c r="L16" s="21" t="s">
        <v>41</v>
      </c>
      <c r="M16" s="21" t="s">
        <v>72</v>
      </c>
      <c r="N16" s="22" t="str">
        <f t="shared" si="3"/>
        <v>Jebel Ali, UAE → Aqaba, Jordan</v>
      </c>
      <c r="O16" s="34">
        <v>2.0</v>
      </c>
      <c r="P16" s="34" t="s">
        <v>87</v>
      </c>
      <c r="Q16" s="34" t="s">
        <v>88</v>
      </c>
      <c r="R16" s="23">
        <v>0.0</v>
      </c>
      <c r="S16" s="19" t="str">
        <f t="shared" si="4"/>
        <v>5.07</v>
      </c>
      <c r="T16" s="34" t="s">
        <v>66</v>
      </c>
      <c r="U16" s="24">
        <v>46152.0</v>
      </c>
      <c r="V16" s="24">
        <v>46161.0</v>
      </c>
      <c r="W16" s="33" t="str">
        <f t="shared" si="5"/>
        <v>6</v>
      </c>
      <c r="X16" s="34">
        <v>5000.0</v>
      </c>
      <c r="Y16" s="18">
        <v>25000.0</v>
      </c>
      <c r="Z16" s="34" t="s">
        <v>118</v>
      </c>
      <c r="AA16" s="34" t="s">
        <v>60</v>
      </c>
      <c r="AB16" s="26" t="s">
        <v>48</v>
      </c>
    </row>
    <row r="17" ht="18.0" customHeight="1">
      <c r="A17" s="35" t="s">
        <v>113</v>
      </c>
      <c r="B17" s="35" t="s">
        <v>119</v>
      </c>
      <c r="C17" s="35" t="s">
        <v>120</v>
      </c>
      <c r="D17" s="35" t="s">
        <v>116</v>
      </c>
      <c r="E17" s="35" t="s">
        <v>117</v>
      </c>
      <c r="F17" s="18">
        <v>4.1</v>
      </c>
      <c r="G17" s="18">
        <v>5.15</v>
      </c>
      <c r="H17" s="18">
        <v>4.7</v>
      </c>
      <c r="I17" s="18">
        <v>0.18</v>
      </c>
      <c r="J17" s="19" t="str">
        <f t="shared" si="1"/>
        <v>5.33</v>
      </c>
      <c r="K17" s="31" t="str">
        <f t="shared" si="2"/>
        <v>25.6%</v>
      </c>
      <c r="L17" s="21" t="s">
        <v>41</v>
      </c>
      <c r="M17" s="21" t="s">
        <v>121</v>
      </c>
      <c r="N17" s="22" t="str">
        <f t="shared" si="3"/>
        <v>Jebel Ali, UAE → Salalah, Oman</v>
      </c>
      <c r="O17" s="35">
        <v>3.0</v>
      </c>
      <c r="P17" s="35" t="s">
        <v>87</v>
      </c>
      <c r="Q17" s="35" t="s">
        <v>88</v>
      </c>
      <c r="R17" s="23">
        <v>0.0</v>
      </c>
      <c r="S17" s="19" t="str">
        <f t="shared" si="4"/>
        <v>5.33</v>
      </c>
      <c r="T17" s="35" t="s">
        <v>66</v>
      </c>
      <c r="U17" s="24">
        <v>46147.0</v>
      </c>
      <c r="V17" s="24">
        <v>46161.0</v>
      </c>
      <c r="W17" s="33" t="str">
        <f t="shared" si="5"/>
        <v>6</v>
      </c>
      <c r="X17" s="35">
        <v>5000.0</v>
      </c>
      <c r="Y17" s="18">
        <v>25000.0</v>
      </c>
      <c r="Z17" s="35" t="s">
        <v>122</v>
      </c>
      <c r="AA17" s="35" t="s">
        <v>60</v>
      </c>
      <c r="AB17" s="26" t="s">
        <v>48</v>
      </c>
    </row>
    <row r="18" ht="18.0" customHeight="1">
      <c r="A18" s="34" t="s">
        <v>123</v>
      </c>
      <c r="B18" s="34" t="s">
        <v>124</v>
      </c>
      <c r="C18" s="34" t="s">
        <v>125</v>
      </c>
      <c r="D18" s="34" t="s">
        <v>116</v>
      </c>
      <c r="E18" s="34" t="s">
        <v>40</v>
      </c>
      <c r="F18" s="18">
        <v>420.0</v>
      </c>
      <c r="G18" s="18">
        <v>510.0</v>
      </c>
      <c r="H18" s="18">
        <v>470.0</v>
      </c>
      <c r="I18" s="18">
        <v>22.0</v>
      </c>
      <c r="J18" s="19" t="str">
        <f t="shared" si="1"/>
        <v>532.00</v>
      </c>
      <c r="K18" s="31" t="str">
        <f t="shared" si="2"/>
        <v>21.4%</v>
      </c>
      <c r="L18" s="21" t="s">
        <v>126</v>
      </c>
      <c r="M18" s="21" t="s">
        <v>127</v>
      </c>
      <c r="N18" s="22" t="str">
        <f t="shared" si="3"/>
        <v>Fujairah, UAE → Djibouti</v>
      </c>
      <c r="O18" s="34">
        <v>5.0</v>
      </c>
      <c r="P18" s="34" t="s">
        <v>43</v>
      </c>
      <c r="Q18" s="34" t="s">
        <v>88</v>
      </c>
      <c r="R18" s="23">
        <v>0.0</v>
      </c>
      <c r="S18" s="19" t="str">
        <f t="shared" si="4"/>
        <v>532.00</v>
      </c>
      <c r="T18" s="34" t="s">
        <v>128</v>
      </c>
      <c r="U18" s="24">
        <v>46152.0</v>
      </c>
      <c r="V18" s="24">
        <v>46161.0</v>
      </c>
      <c r="W18" s="33" t="str">
        <f t="shared" si="5"/>
        <v>6</v>
      </c>
      <c r="X18" s="34">
        <v>100.0</v>
      </c>
      <c r="Y18" s="18">
        <v>50000.0</v>
      </c>
      <c r="Z18" s="34" t="s">
        <v>129</v>
      </c>
      <c r="AA18" s="34" t="s">
        <v>60</v>
      </c>
      <c r="AB18" s="26" t="s">
        <v>48</v>
      </c>
    </row>
    <row r="19" ht="18.0" customHeight="1">
      <c r="A19" s="36" t="s">
        <v>130</v>
      </c>
      <c r="B19" s="36" t="s">
        <v>131</v>
      </c>
      <c r="C19" s="36" t="s">
        <v>132</v>
      </c>
      <c r="D19" s="36" t="s">
        <v>133</v>
      </c>
      <c r="E19" s="36" t="s">
        <v>40</v>
      </c>
      <c r="F19" s="18">
        <v>960.0</v>
      </c>
      <c r="G19" s="18">
        <v>1120.0</v>
      </c>
      <c r="H19" s="18">
        <v>1040.0</v>
      </c>
      <c r="I19" s="18">
        <v>38.0</v>
      </c>
      <c r="J19" s="19" t="str">
        <f t="shared" si="1"/>
        <v>1,158.00</v>
      </c>
      <c r="K19" s="20" t="str">
        <f t="shared" si="2"/>
        <v>16.7%</v>
      </c>
      <c r="L19" s="21" t="s">
        <v>134</v>
      </c>
      <c r="M19" s="21" t="s">
        <v>42</v>
      </c>
      <c r="N19" s="22" t="str">
        <f t="shared" si="3"/>
        <v>Odessa, Ukraine → Alexandria, Egypt</v>
      </c>
      <c r="O19" s="36">
        <v>14.0</v>
      </c>
      <c r="P19" s="36" t="s">
        <v>79</v>
      </c>
      <c r="Q19" s="36" t="s">
        <v>135</v>
      </c>
      <c r="R19" s="23">
        <v>0.0</v>
      </c>
      <c r="S19" s="19" t="str">
        <f t="shared" si="4"/>
        <v>1,158.00</v>
      </c>
      <c r="T19" s="36" t="s">
        <v>45</v>
      </c>
      <c r="U19" s="24">
        <v>46153.0</v>
      </c>
      <c r="V19" s="24">
        <v>46175.0</v>
      </c>
      <c r="W19" s="25" t="str">
        <f t="shared" si="5"/>
        <v>20</v>
      </c>
      <c r="X19" s="36">
        <v>50.0</v>
      </c>
      <c r="Y19" s="18">
        <v>50000.0</v>
      </c>
      <c r="Z19" s="36" t="s">
        <v>136</v>
      </c>
      <c r="AA19" s="36" t="s">
        <v>60</v>
      </c>
      <c r="AB19" s="26" t="s">
        <v>48</v>
      </c>
    </row>
    <row r="20" ht="18.0" customHeight="1">
      <c r="A20" s="37" t="s">
        <v>130</v>
      </c>
      <c r="B20" s="37" t="s">
        <v>137</v>
      </c>
      <c r="C20" s="37" t="s">
        <v>138</v>
      </c>
      <c r="D20" s="37" t="s">
        <v>133</v>
      </c>
      <c r="E20" s="37" t="s">
        <v>40</v>
      </c>
      <c r="F20" s="18">
        <v>890.0</v>
      </c>
      <c r="G20" s="18">
        <v>1050.0</v>
      </c>
      <c r="H20" s="18">
        <v>970.0</v>
      </c>
      <c r="I20" s="18">
        <v>42.0</v>
      </c>
      <c r="J20" s="19" t="str">
        <f t="shared" si="1"/>
        <v>1,092.00</v>
      </c>
      <c r="K20" s="20" t="str">
        <f t="shared" si="2"/>
        <v>18.0%</v>
      </c>
      <c r="L20" s="21" t="s">
        <v>139</v>
      </c>
      <c r="M20" s="21" t="s">
        <v>140</v>
      </c>
      <c r="N20" s="22" t="str">
        <f t="shared" si="3"/>
        <v>Rouen, France → Casablanca, Morocco</v>
      </c>
      <c r="O20" s="37">
        <v>14.0</v>
      </c>
      <c r="P20" s="37" t="s">
        <v>79</v>
      </c>
      <c r="Q20" s="37" t="s">
        <v>141</v>
      </c>
      <c r="R20" s="23">
        <v>0.0</v>
      </c>
      <c r="S20" s="19" t="str">
        <f t="shared" si="4"/>
        <v>1,092.00</v>
      </c>
      <c r="T20" s="37" t="s">
        <v>58</v>
      </c>
      <c r="U20" s="24">
        <v>46148.0</v>
      </c>
      <c r="V20" s="24">
        <v>46175.0</v>
      </c>
      <c r="W20" s="25" t="str">
        <f t="shared" si="5"/>
        <v>20</v>
      </c>
      <c r="X20" s="37">
        <v>50.0</v>
      </c>
      <c r="Y20" s="18">
        <v>50000.0</v>
      </c>
      <c r="Z20" s="37" t="s">
        <v>136</v>
      </c>
      <c r="AA20" s="37" t="s">
        <v>53</v>
      </c>
      <c r="AB20" s="26" t="s">
        <v>48</v>
      </c>
    </row>
    <row r="21" ht="18.0" customHeight="1">
      <c r="A21" s="36" t="s">
        <v>130</v>
      </c>
      <c r="B21" s="36" t="s">
        <v>142</v>
      </c>
      <c r="C21" s="36" t="s">
        <v>143</v>
      </c>
      <c r="D21" s="36" t="s">
        <v>133</v>
      </c>
      <c r="E21" s="36" t="s">
        <v>40</v>
      </c>
      <c r="F21" s="18">
        <v>820.0</v>
      </c>
      <c r="G21" s="18">
        <v>980.0</v>
      </c>
      <c r="H21" s="18">
        <v>900.0</v>
      </c>
      <c r="I21" s="18">
        <v>35.0</v>
      </c>
      <c r="J21" s="19" t="str">
        <f t="shared" si="1"/>
        <v>1,015.00</v>
      </c>
      <c r="K21" s="20" t="str">
        <f t="shared" si="2"/>
        <v>19.5%</v>
      </c>
      <c r="L21" s="21" t="s">
        <v>144</v>
      </c>
      <c r="M21" s="21" t="s">
        <v>51</v>
      </c>
      <c r="N21" s="22" t="str">
        <f t="shared" si="3"/>
        <v>Santos, Brazil → Port Said, Egypt</v>
      </c>
      <c r="O21" s="36">
        <v>14.0</v>
      </c>
      <c r="P21" s="36" t="s">
        <v>79</v>
      </c>
      <c r="Q21" s="36" t="s">
        <v>145</v>
      </c>
      <c r="R21" s="23">
        <v>0.0</v>
      </c>
      <c r="S21" s="19" t="str">
        <f t="shared" si="4"/>
        <v>1,015.00</v>
      </c>
      <c r="T21" s="36" t="s">
        <v>45</v>
      </c>
      <c r="U21" s="24">
        <v>46147.0</v>
      </c>
      <c r="V21" s="24">
        <v>46175.0</v>
      </c>
      <c r="W21" s="25" t="str">
        <f t="shared" si="5"/>
        <v>20</v>
      </c>
      <c r="X21" s="36">
        <v>50.0</v>
      </c>
      <c r="Y21" s="18">
        <v>50000.0</v>
      </c>
      <c r="Z21" s="36" t="s">
        <v>146</v>
      </c>
      <c r="AA21" s="36" t="s">
        <v>60</v>
      </c>
      <c r="AB21" s="26" t="s">
        <v>48</v>
      </c>
    </row>
    <row r="22" ht="18.0" customHeight="1">
      <c r="A22" s="37" t="s">
        <v>147</v>
      </c>
      <c r="B22" s="37" t="s">
        <v>148</v>
      </c>
      <c r="C22" s="37" t="s">
        <v>149</v>
      </c>
      <c r="D22" s="37" t="s">
        <v>133</v>
      </c>
      <c r="E22" s="37" t="s">
        <v>40</v>
      </c>
      <c r="F22" s="18">
        <v>1050.0</v>
      </c>
      <c r="G22" s="18">
        <v>1200.0</v>
      </c>
      <c r="H22" s="18">
        <v>1120.0</v>
      </c>
      <c r="I22" s="18">
        <v>40.0</v>
      </c>
      <c r="J22" s="19" t="str">
        <f t="shared" si="1"/>
        <v>1,240.00</v>
      </c>
      <c r="K22" s="20" t="str">
        <f t="shared" si="2"/>
        <v>14.3%</v>
      </c>
      <c r="L22" s="21" t="s">
        <v>150</v>
      </c>
      <c r="M22" s="21" t="s">
        <v>41</v>
      </c>
      <c r="N22" s="22" t="str">
        <f t="shared" si="3"/>
        <v>Paranagua, Brazil → Jebel Ali, UAE</v>
      </c>
      <c r="O22" s="37">
        <v>14.0</v>
      </c>
      <c r="P22" s="37" t="s">
        <v>79</v>
      </c>
      <c r="Q22" s="37" t="s">
        <v>145</v>
      </c>
      <c r="R22" s="23">
        <v>0.0</v>
      </c>
      <c r="S22" s="19" t="str">
        <f t="shared" si="4"/>
        <v>1,240.00</v>
      </c>
      <c r="T22" s="37" t="s">
        <v>45</v>
      </c>
      <c r="U22" s="24">
        <v>46149.0</v>
      </c>
      <c r="V22" s="24">
        <v>46168.0</v>
      </c>
      <c r="W22" s="29" t="str">
        <f t="shared" si="5"/>
        <v>13</v>
      </c>
      <c r="X22" s="37">
        <v>50.0</v>
      </c>
      <c r="Y22" s="18">
        <v>50000.0</v>
      </c>
      <c r="Z22" s="37" t="s">
        <v>151</v>
      </c>
      <c r="AA22" s="37" t="s">
        <v>60</v>
      </c>
      <c r="AB22" s="26" t="s">
        <v>48</v>
      </c>
    </row>
    <row r="23" ht="18.0" customHeight="1">
      <c r="A23" s="36" t="s">
        <v>152</v>
      </c>
      <c r="B23" s="36" t="s">
        <v>153</v>
      </c>
      <c r="C23" s="36" t="s">
        <v>154</v>
      </c>
      <c r="D23" s="36" t="s">
        <v>133</v>
      </c>
      <c r="E23" s="36" t="s">
        <v>40</v>
      </c>
      <c r="F23" s="18">
        <v>480.0</v>
      </c>
      <c r="G23" s="18">
        <v>560.0</v>
      </c>
      <c r="H23" s="18">
        <v>520.0</v>
      </c>
      <c r="I23" s="18">
        <v>35.0</v>
      </c>
      <c r="J23" s="19" t="str">
        <f t="shared" si="1"/>
        <v>595.00</v>
      </c>
      <c r="K23" s="20" t="str">
        <f t="shared" si="2"/>
        <v>16.7%</v>
      </c>
      <c r="L23" s="21" t="s">
        <v>144</v>
      </c>
      <c r="M23" s="21" t="s">
        <v>155</v>
      </c>
      <c r="N23" s="22" t="str">
        <f t="shared" si="3"/>
        <v>Santos, Brazil → Jeddah, KSA</v>
      </c>
      <c r="O23" s="36">
        <v>21.0</v>
      </c>
      <c r="P23" s="36" t="s">
        <v>79</v>
      </c>
      <c r="Q23" s="36" t="s">
        <v>145</v>
      </c>
      <c r="R23" s="23">
        <v>0.05</v>
      </c>
      <c r="S23" s="19" t="str">
        <f t="shared" si="4"/>
        <v>624.75</v>
      </c>
      <c r="T23" s="36" t="s">
        <v>100</v>
      </c>
      <c r="U23" s="24">
        <v>46150.0</v>
      </c>
      <c r="V23" s="24">
        <v>46168.0</v>
      </c>
      <c r="W23" s="29" t="str">
        <f t="shared" si="5"/>
        <v>13</v>
      </c>
      <c r="X23" s="36">
        <v>50.0</v>
      </c>
      <c r="Y23" s="18">
        <v>25000.0</v>
      </c>
      <c r="Z23" s="36" t="s">
        <v>156</v>
      </c>
      <c r="AA23" s="36" t="s">
        <v>68</v>
      </c>
      <c r="AB23" s="26" t="s">
        <v>48</v>
      </c>
    </row>
    <row r="24" ht="18.0" customHeight="1">
      <c r="A24" s="38" t="s">
        <v>157</v>
      </c>
      <c r="B24" s="38" t="s">
        <v>158</v>
      </c>
      <c r="C24" s="38" t="s">
        <v>159</v>
      </c>
      <c r="D24" s="38" t="s">
        <v>160</v>
      </c>
      <c r="E24" s="38" t="s">
        <v>40</v>
      </c>
      <c r="F24" s="18">
        <v>490.0</v>
      </c>
      <c r="G24" s="18">
        <v>580.0</v>
      </c>
      <c r="H24" s="18">
        <v>530.0</v>
      </c>
      <c r="I24" s="18">
        <v>30.0</v>
      </c>
      <c r="J24" s="19" t="str">
        <f t="shared" si="1"/>
        <v>610.00</v>
      </c>
      <c r="K24" s="20" t="str">
        <f t="shared" si="2"/>
        <v>18.4%</v>
      </c>
      <c r="L24" s="21" t="s">
        <v>41</v>
      </c>
      <c r="M24" s="21" t="s">
        <v>161</v>
      </c>
      <c r="N24" s="22" t="str">
        <f t="shared" si="3"/>
        <v>Jebel Ali, UAE → Suez, Egypt</v>
      </c>
      <c r="O24" s="38">
        <v>7.0</v>
      </c>
      <c r="P24" s="38" t="s">
        <v>87</v>
      </c>
      <c r="Q24" s="38" t="s">
        <v>162</v>
      </c>
      <c r="R24" s="23">
        <v>0.07</v>
      </c>
      <c r="S24" s="19" t="str">
        <f t="shared" si="4"/>
        <v>652.70</v>
      </c>
      <c r="T24" s="38" t="s">
        <v>45</v>
      </c>
      <c r="U24" s="24">
        <v>46149.0</v>
      </c>
      <c r="V24" s="24">
        <v>46175.0</v>
      </c>
      <c r="W24" s="25" t="str">
        <f t="shared" si="5"/>
        <v>20</v>
      </c>
      <c r="X24" s="38">
        <v>5.0</v>
      </c>
      <c r="Y24" s="18">
        <v>5000.0</v>
      </c>
      <c r="Z24" s="38" t="s">
        <v>163</v>
      </c>
      <c r="AA24" s="38" t="s">
        <v>60</v>
      </c>
      <c r="AB24" s="26" t="s">
        <v>48</v>
      </c>
    </row>
    <row r="25" ht="18.0" customHeight="1">
      <c r="A25" s="39" t="s">
        <v>157</v>
      </c>
      <c r="B25" s="39" t="s">
        <v>164</v>
      </c>
      <c r="C25" s="39" t="s">
        <v>165</v>
      </c>
      <c r="D25" s="39" t="s">
        <v>160</v>
      </c>
      <c r="E25" s="39" t="s">
        <v>40</v>
      </c>
      <c r="F25" s="18">
        <v>355.0</v>
      </c>
      <c r="G25" s="18">
        <v>420.0</v>
      </c>
      <c r="H25" s="18">
        <v>385.0</v>
      </c>
      <c r="I25" s="18">
        <v>28.0</v>
      </c>
      <c r="J25" s="19" t="str">
        <f t="shared" si="1"/>
        <v>448.00</v>
      </c>
      <c r="K25" s="20" t="str">
        <f t="shared" si="2"/>
        <v>18.3%</v>
      </c>
      <c r="L25" s="21" t="s">
        <v>41</v>
      </c>
      <c r="M25" s="21" t="s">
        <v>72</v>
      </c>
      <c r="N25" s="22" t="str">
        <f t="shared" si="3"/>
        <v>Jebel Ali, UAE → Aqaba, Jordan</v>
      </c>
      <c r="O25" s="39">
        <v>7.0</v>
      </c>
      <c r="P25" s="39" t="s">
        <v>87</v>
      </c>
      <c r="Q25" s="39" t="s">
        <v>162</v>
      </c>
      <c r="R25" s="23">
        <v>0.05</v>
      </c>
      <c r="S25" s="19" t="str">
        <f t="shared" si="4"/>
        <v>470.40</v>
      </c>
      <c r="T25" s="39" t="s">
        <v>45</v>
      </c>
      <c r="U25" s="24">
        <v>46154.0</v>
      </c>
      <c r="V25" s="24">
        <v>46175.0</v>
      </c>
      <c r="W25" s="25" t="str">
        <f t="shared" si="5"/>
        <v>20</v>
      </c>
      <c r="X25" s="39">
        <v>5.0</v>
      </c>
      <c r="Y25" s="18">
        <v>5000.0</v>
      </c>
      <c r="Z25" s="39" t="s">
        <v>163</v>
      </c>
      <c r="AA25" s="39" t="s">
        <v>53</v>
      </c>
      <c r="AB25" s="26" t="s">
        <v>48</v>
      </c>
    </row>
    <row r="26" ht="18.0" customHeight="1">
      <c r="A26" s="38" t="s">
        <v>166</v>
      </c>
      <c r="B26" s="38" t="s">
        <v>167</v>
      </c>
      <c r="C26" s="38" t="s">
        <v>168</v>
      </c>
      <c r="D26" s="38" t="s">
        <v>160</v>
      </c>
      <c r="E26" s="38" t="s">
        <v>40</v>
      </c>
      <c r="F26" s="18">
        <v>380.0</v>
      </c>
      <c r="G26" s="18">
        <v>450.0</v>
      </c>
      <c r="H26" s="18">
        <v>415.0</v>
      </c>
      <c r="I26" s="18">
        <v>30.0</v>
      </c>
      <c r="J26" s="19" t="str">
        <f t="shared" si="1"/>
        <v>480.00</v>
      </c>
      <c r="K26" s="20" t="str">
        <f t="shared" si="2"/>
        <v>18.4%</v>
      </c>
      <c r="L26" s="21" t="s">
        <v>41</v>
      </c>
      <c r="M26" s="21" t="s">
        <v>42</v>
      </c>
      <c r="N26" s="22" t="str">
        <f t="shared" si="3"/>
        <v>Jebel Ali, UAE → Alexandria, Egypt</v>
      </c>
      <c r="O26" s="38">
        <v>14.0</v>
      </c>
      <c r="P26" s="38" t="s">
        <v>43</v>
      </c>
      <c r="Q26" s="38" t="s">
        <v>105</v>
      </c>
      <c r="R26" s="23">
        <v>0.0</v>
      </c>
      <c r="S26" s="19" t="str">
        <f t="shared" si="4"/>
        <v>480.00</v>
      </c>
      <c r="T26" s="38" t="s">
        <v>45</v>
      </c>
      <c r="U26" s="24">
        <v>46150.0</v>
      </c>
      <c r="V26" s="24">
        <v>46184.0</v>
      </c>
      <c r="W26" s="25" t="str">
        <f t="shared" si="5"/>
        <v>29</v>
      </c>
      <c r="X26" s="38">
        <v>50.0</v>
      </c>
      <c r="Y26" s="18">
        <v>25000.0</v>
      </c>
      <c r="Z26" s="38" t="s">
        <v>169</v>
      </c>
      <c r="AA26" s="38" t="s">
        <v>60</v>
      </c>
      <c r="AB26" s="26" t="s">
        <v>48</v>
      </c>
    </row>
    <row r="27" ht="18.0" customHeight="1">
      <c r="A27" s="39" t="s">
        <v>166</v>
      </c>
      <c r="B27" s="39" t="s">
        <v>170</v>
      </c>
      <c r="C27" s="39" t="s">
        <v>171</v>
      </c>
      <c r="D27" s="39" t="s">
        <v>160</v>
      </c>
      <c r="E27" s="39" t="s">
        <v>40</v>
      </c>
      <c r="F27" s="18">
        <v>520.0</v>
      </c>
      <c r="G27" s="18">
        <v>620.0</v>
      </c>
      <c r="H27" s="18">
        <v>570.0</v>
      </c>
      <c r="I27" s="18">
        <v>32.0</v>
      </c>
      <c r="J27" s="19" t="str">
        <f t="shared" si="1"/>
        <v>652.00</v>
      </c>
      <c r="K27" s="20" t="str">
        <f t="shared" si="2"/>
        <v>19.2%</v>
      </c>
      <c r="L27" s="21" t="s">
        <v>140</v>
      </c>
      <c r="M27" s="21" t="s">
        <v>155</v>
      </c>
      <c r="N27" s="22" t="str">
        <f t="shared" si="3"/>
        <v>Casablanca, Morocco → Jeddah, KSA</v>
      </c>
      <c r="O27" s="39">
        <v>14.0</v>
      </c>
      <c r="P27" s="39" t="s">
        <v>43</v>
      </c>
      <c r="Q27" s="39" t="s">
        <v>172</v>
      </c>
      <c r="R27" s="23">
        <v>0.0</v>
      </c>
      <c r="S27" s="19" t="str">
        <f t="shared" si="4"/>
        <v>652.00</v>
      </c>
      <c r="T27" s="39" t="s">
        <v>58</v>
      </c>
      <c r="U27" s="24">
        <v>46147.0</v>
      </c>
      <c r="V27" s="24">
        <v>46175.0</v>
      </c>
      <c r="W27" s="25" t="str">
        <f t="shared" si="5"/>
        <v>20</v>
      </c>
      <c r="X27" s="39">
        <v>50.0</v>
      </c>
      <c r="Y27" s="18">
        <v>25000.0</v>
      </c>
      <c r="Z27" s="39" t="s">
        <v>169</v>
      </c>
      <c r="AA27" s="39" t="s">
        <v>60</v>
      </c>
      <c r="AB27" s="26" t="s">
        <v>48</v>
      </c>
    </row>
    <row r="28" ht="18.0" customHeight="1">
      <c r="A28" s="38" t="s">
        <v>173</v>
      </c>
      <c r="B28" s="38" t="s">
        <v>174</v>
      </c>
      <c r="C28" s="38" t="s">
        <v>175</v>
      </c>
      <c r="D28" s="38" t="s">
        <v>160</v>
      </c>
      <c r="E28" s="38" t="s">
        <v>40</v>
      </c>
      <c r="F28" s="18">
        <v>1100.0</v>
      </c>
      <c r="G28" s="18">
        <v>1280.0</v>
      </c>
      <c r="H28" s="18">
        <v>1190.0</v>
      </c>
      <c r="I28" s="18">
        <v>55.0</v>
      </c>
      <c r="J28" s="19" t="str">
        <f t="shared" si="1"/>
        <v>1,335.00</v>
      </c>
      <c r="K28" s="20" t="str">
        <f t="shared" si="2"/>
        <v>16.4%</v>
      </c>
      <c r="L28" s="21" t="s">
        <v>41</v>
      </c>
      <c r="M28" s="21" t="s">
        <v>64</v>
      </c>
      <c r="N28" s="22" t="str">
        <f t="shared" si="3"/>
        <v>Jebel Ali, UAE → Haifa, Israel</v>
      </c>
      <c r="O28" s="38">
        <v>10.0</v>
      </c>
      <c r="P28" s="38" t="s">
        <v>79</v>
      </c>
      <c r="Q28" s="38" t="s">
        <v>176</v>
      </c>
      <c r="R28" s="23">
        <v>0.0</v>
      </c>
      <c r="S28" s="19" t="str">
        <f t="shared" si="4"/>
        <v>1,335.00</v>
      </c>
      <c r="T28" s="38" t="s">
        <v>66</v>
      </c>
      <c r="U28" s="24">
        <v>46154.0</v>
      </c>
      <c r="V28" s="24">
        <v>46184.0</v>
      </c>
      <c r="W28" s="25" t="str">
        <f t="shared" si="5"/>
        <v>29</v>
      </c>
      <c r="X28" s="38">
        <v>20.0</v>
      </c>
      <c r="Y28" s="18">
        <v>20000.0</v>
      </c>
      <c r="Z28" s="38" t="s">
        <v>177</v>
      </c>
      <c r="AA28" s="38" t="s">
        <v>68</v>
      </c>
      <c r="AB28" s="26" t="s">
        <v>48</v>
      </c>
    </row>
    <row r="29" ht="18.0" customHeight="1">
      <c r="A29" s="39" t="s">
        <v>173</v>
      </c>
      <c r="B29" s="39" t="s">
        <v>178</v>
      </c>
      <c r="C29" s="39" t="s">
        <v>179</v>
      </c>
      <c r="D29" s="39" t="s">
        <v>160</v>
      </c>
      <c r="E29" s="39" t="s">
        <v>40</v>
      </c>
      <c r="F29" s="18">
        <v>1050.0</v>
      </c>
      <c r="G29" s="18">
        <v>1220.0</v>
      </c>
      <c r="H29" s="18">
        <v>1140.0</v>
      </c>
      <c r="I29" s="18">
        <v>50.0</v>
      </c>
      <c r="J29" s="19" t="str">
        <f t="shared" si="1"/>
        <v>1,270.00</v>
      </c>
      <c r="K29" s="20" t="str">
        <f t="shared" si="2"/>
        <v>16.2%</v>
      </c>
      <c r="L29" s="21" t="s">
        <v>41</v>
      </c>
      <c r="M29" s="21" t="s">
        <v>42</v>
      </c>
      <c r="N29" s="22" t="str">
        <f t="shared" si="3"/>
        <v>Jebel Ali, UAE → Alexandria, Egypt</v>
      </c>
      <c r="O29" s="39">
        <v>10.0</v>
      </c>
      <c r="P29" s="39" t="s">
        <v>79</v>
      </c>
      <c r="Q29" s="39" t="s">
        <v>176</v>
      </c>
      <c r="R29" s="23">
        <v>0.0</v>
      </c>
      <c r="S29" s="19" t="str">
        <f t="shared" si="4"/>
        <v>1,270.00</v>
      </c>
      <c r="T29" s="39" t="s">
        <v>66</v>
      </c>
      <c r="U29" s="24">
        <v>46150.0</v>
      </c>
      <c r="V29" s="24">
        <v>46184.0</v>
      </c>
      <c r="W29" s="25" t="str">
        <f t="shared" si="5"/>
        <v>29</v>
      </c>
      <c r="X29" s="39">
        <v>20.0</v>
      </c>
      <c r="Y29" s="18">
        <v>20000.0</v>
      </c>
      <c r="Z29" s="39" t="s">
        <v>177</v>
      </c>
      <c r="AA29" s="39" t="s">
        <v>74</v>
      </c>
      <c r="AB29" s="26" t="s">
        <v>48</v>
      </c>
    </row>
    <row r="30" ht="19.5" customHeight="1">
      <c r="A30" s="40" t="s">
        <v>180</v>
      </c>
      <c r="B30" s="2"/>
      <c r="C30" s="2"/>
      <c r="D30" s="2"/>
      <c r="E30" s="3"/>
      <c r="F30" s="41" t="str">
        <f t="shared" ref="F30:K30" si="6">AVERAGE(F5:F29)</f>
        <v>1,505.51</v>
      </c>
      <c r="G30" s="41" t="str">
        <f t="shared" si="6"/>
        <v>1,682.11</v>
      </c>
      <c r="H30" s="41" t="str">
        <f t="shared" si="6"/>
        <v>1,590.54</v>
      </c>
      <c r="I30" s="41" t="str">
        <f t="shared" si="6"/>
        <v>33.09</v>
      </c>
      <c r="J30" s="41" t="str">
        <f t="shared" si="6"/>
        <v>1,715.20</v>
      </c>
      <c r="K30" s="42" t="str">
        <f t="shared" si="6"/>
        <v>18.2%</v>
      </c>
      <c r="S30" s="41" t="str">
        <f>AVERAGE(S5:S29)</f>
        <v>1,738.54</v>
      </c>
      <c r="Y30" s="43" t="str">
        <f>SUM(Y5:Y29)</f>
        <v>825,000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9">
    <mergeCell ref="A3:E3"/>
    <mergeCell ref="A30:E30"/>
    <mergeCell ref="A1:AB1"/>
    <mergeCell ref="A2:AB2"/>
    <mergeCell ref="F3:K3"/>
    <mergeCell ref="L3:Q3"/>
    <mergeCell ref="R3:U3"/>
    <mergeCell ref="V3:X3"/>
    <mergeCell ref="Y3:AB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26.0"/>
    <col customWidth="1" min="4" max="4" width="8.0"/>
    <col customWidth="1" min="5" max="8" width="13.0"/>
    <col customWidth="1" min="9" max="10" width="10.0"/>
    <col customWidth="1" min="11" max="12" width="12.0"/>
    <col customWidth="1" min="13" max="15" width="13.0"/>
    <col customWidth="1" min="16" max="17" width="11.0"/>
    <col customWidth="1" min="18" max="18" width="14.0"/>
  </cols>
  <sheetData>
    <row r="1" ht="27.75" customHeight="1">
      <c r="A1" s="44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5.0" customHeight="1">
      <c r="A2" s="4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3.5" customHeight="1">
      <c r="A3" s="5" t="s">
        <v>183</v>
      </c>
      <c r="B3" s="6"/>
      <c r="C3" s="6"/>
      <c r="D3" s="45"/>
      <c r="E3" s="8" t="s">
        <v>184</v>
      </c>
      <c r="F3" s="6"/>
      <c r="G3" s="6"/>
      <c r="H3" s="45"/>
      <c r="I3" s="9" t="s">
        <v>185</v>
      </c>
      <c r="J3" s="6"/>
      <c r="K3" s="6"/>
      <c r="L3" s="45"/>
      <c r="M3" s="10" t="s">
        <v>186</v>
      </c>
      <c r="N3" s="6"/>
      <c r="O3" s="45"/>
      <c r="P3" s="11" t="s">
        <v>187</v>
      </c>
      <c r="Q3" s="6"/>
      <c r="R3" s="45"/>
    </row>
    <row r="4" ht="30.0" customHeight="1">
      <c r="A4" s="12" t="s">
        <v>8</v>
      </c>
      <c r="B4" s="12" t="s">
        <v>9</v>
      </c>
      <c r="C4" s="12" t="s">
        <v>10</v>
      </c>
      <c r="D4" s="12" t="s">
        <v>12</v>
      </c>
      <c r="E4" s="13" t="s">
        <v>14</v>
      </c>
      <c r="F4" s="13" t="s">
        <v>188</v>
      </c>
      <c r="G4" s="13" t="s">
        <v>189</v>
      </c>
      <c r="H4" s="13" t="s">
        <v>15</v>
      </c>
      <c r="I4" s="14" t="s">
        <v>190</v>
      </c>
      <c r="J4" s="14" t="s">
        <v>191</v>
      </c>
      <c r="K4" s="14" t="s">
        <v>192</v>
      </c>
      <c r="L4" s="14" t="s">
        <v>193</v>
      </c>
      <c r="M4" s="15" t="s">
        <v>194</v>
      </c>
      <c r="N4" s="15" t="s">
        <v>195</v>
      </c>
      <c r="O4" s="15" t="s">
        <v>196</v>
      </c>
      <c r="P4" s="16" t="s">
        <v>197</v>
      </c>
      <c r="Q4" s="16" t="s">
        <v>198</v>
      </c>
      <c r="R4" s="16" t="s">
        <v>199</v>
      </c>
    </row>
    <row r="5" ht="16.5" customHeight="1">
      <c r="A5" s="46" t="s">
        <v>36</v>
      </c>
      <c r="B5" s="46" t="s">
        <v>37</v>
      </c>
      <c r="C5" s="46" t="s">
        <v>38</v>
      </c>
      <c r="D5" s="46" t="s">
        <v>40</v>
      </c>
      <c r="E5" s="18">
        <v>2840.0</v>
      </c>
      <c r="F5" s="18">
        <v>2700.0</v>
      </c>
      <c r="G5" s="18">
        <v>2960.0</v>
      </c>
      <c r="H5" s="18">
        <v>2720.0</v>
      </c>
      <c r="I5" s="47">
        <v>5.0</v>
      </c>
      <c r="J5" s="47" t="s">
        <v>200</v>
      </c>
      <c r="K5" s="47" t="s">
        <v>201</v>
      </c>
      <c r="L5" s="48" t="s">
        <v>202</v>
      </c>
      <c r="M5" s="49" t="s">
        <v>203</v>
      </c>
      <c r="N5" s="49" t="s">
        <v>204</v>
      </c>
      <c r="O5" s="49" t="s">
        <v>205</v>
      </c>
      <c r="P5" s="26" t="s">
        <v>48</v>
      </c>
      <c r="Q5" s="50">
        <v>3.0</v>
      </c>
      <c r="R5" s="51">
        <v>500000.0</v>
      </c>
    </row>
    <row r="6" ht="16.5" customHeight="1">
      <c r="A6" s="52" t="s">
        <v>36</v>
      </c>
      <c r="B6" s="52" t="s">
        <v>49</v>
      </c>
      <c r="C6" s="52" t="s">
        <v>50</v>
      </c>
      <c r="D6" s="52" t="s">
        <v>40</v>
      </c>
      <c r="E6" s="18">
        <v>3100.0</v>
      </c>
      <c r="F6" s="18">
        <v>2950.0</v>
      </c>
      <c r="G6" s="18">
        <v>3220.0</v>
      </c>
      <c r="H6" s="18">
        <v>2950.0</v>
      </c>
      <c r="I6" s="47">
        <v>5.0</v>
      </c>
      <c r="J6" s="47" t="s">
        <v>206</v>
      </c>
      <c r="K6" s="47" t="s">
        <v>207</v>
      </c>
      <c r="L6" s="48" t="s">
        <v>202</v>
      </c>
      <c r="M6" s="49" t="s">
        <v>208</v>
      </c>
      <c r="N6" s="49" t="s">
        <v>209</v>
      </c>
      <c r="O6" s="49" t="s">
        <v>210</v>
      </c>
      <c r="P6" s="26" t="s">
        <v>48</v>
      </c>
      <c r="Q6" s="50">
        <v>2.0</v>
      </c>
      <c r="R6" s="51">
        <v>300000.0</v>
      </c>
    </row>
    <row r="7" ht="16.5" customHeight="1">
      <c r="A7" s="46" t="s">
        <v>36</v>
      </c>
      <c r="B7" s="46" t="s">
        <v>54</v>
      </c>
      <c r="C7" s="46" t="s">
        <v>55</v>
      </c>
      <c r="D7" s="46" t="s">
        <v>40</v>
      </c>
      <c r="E7" s="18">
        <v>3400.0</v>
      </c>
      <c r="F7" s="18">
        <v>3200.0</v>
      </c>
      <c r="G7" s="18">
        <v>3550.0</v>
      </c>
      <c r="H7" s="18">
        <v>3220.0</v>
      </c>
      <c r="I7" s="47">
        <v>4.0</v>
      </c>
      <c r="J7" s="47" t="s">
        <v>211</v>
      </c>
      <c r="K7" s="47" t="s">
        <v>201</v>
      </c>
      <c r="L7" s="53" t="s">
        <v>212</v>
      </c>
      <c r="M7" s="49" t="s">
        <v>213</v>
      </c>
      <c r="N7" s="49" t="s">
        <v>214</v>
      </c>
      <c r="O7" s="49" t="s">
        <v>210</v>
      </c>
      <c r="P7" s="54" t="s">
        <v>215</v>
      </c>
      <c r="Q7" s="50">
        <v>1.0</v>
      </c>
      <c r="R7" s="51">
        <v>200000.0</v>
      </c>
    </row>
    <row r="8" ht="16.5" customHeight="1">
      <c r="A8" s="52" t="s">
        <v>61</v>
      </c>
      <c r="B8" s="52" t="s">
        <v>62</v>
      </c>
      <c r="C8" s="52" t="s">
        <v>63</v>
      </c>
      <c r="D8" s="52" t="s">
        <v>40</v>
      </c>
      <c r="E8" s="18">
        <v>9200.0</v>
      </c>
      <c r="F8" s="18">
        <v>8800.0</v>
      </c>
      <c r="G8" s="18">
        <v>9560.0</v>
      </c>
      <c r="H8" s="18">
        <v>8800.0</v>
      </c>
      <c r="I8" s="47">
        <v>5.0</v>
      </c>
      <c r="J8" s="47" t="s">
        <v>206</v>
      </c>
      <c r="K8" s="47" t="s">
        <v>216</v>
      </c>
      <c r="L8" s="48" t="s">
        <v>202</v>
      </c>
      <c r="M8" s="49" t="s">
        <v>217</v>
      </c>
      <c r="N8" s="49" t="s">
        <v>213</v>
      </c>
      <c r="O8" s="49" t="s">
        <v>214</v>
      </c>
      <c r="P8" s="54" t="s">
        <v>215</v>
      </c>
      <c r="Q8" s="50">
        <v>1.0</v>
      </c>
      <c r="R8" s="51">
        <v>100000.0</v>
      </c>
    </row>
    <row r="9" ht="16.5" customHeight="1">
      <c r="A9" s="46" t="s">
        <v>61</v>
      </c>
      <c r="B9" s="46" t="s">
        <v>69</v>
      </c>
      <c r="C9" s="46" t="s">
        <v>70</v>
      </c>
      <c r="D9" s="46" t="s">
        <v>71</v>
      </c>
      <c r="E9" s="18">
        <v>38.0</v>
      </c>
      <c r="F9" s="18">
        <v>35.0</v>
      </c>
      <c r="G9" s="18">
        <v>39.5</v>
      </c>
      <c r="H9" s="18">
        <v>35.0</v>
      </c>
      <c r="I9" s="47">
        <v>4.0</v>
      </c>
      <c r="J9" s="47" t="s">
        <v>218</v>
      </c>
      <c r="K9" s="47" t="s">
        <v>201</v>
      </c>
      <c r="L9" s="48" t="s">
        <v>202</v>
      </c>
      <c r="M9" s="49" t="s">
        <v>219</v>
      </c>
      <c r="N9" s="49" t="s">
        <v>220</v>
      </c>
      <c r="O9" s="49" t="s">
        <v>221</v>
      </c>
      <c r="P9" s="54" t="s">
        <v>215</v>
      </c>
      <c r="Q9" s="50">
        <v>1.0</v>
      </c>
      <c r="R9" s="51">
        <v>50000.0</v>
      </c>
    </row>
    <row r="10" ht="16.5" customHeight="1">
      <c r="A10" s="52" t="s">
        <v>75</v>
      </c>
      <c r="B10" s="52" t="s">
        <v>76</v>
      </c>
      <c r="C10" s="52" t="s">
        <v>77</v>
      </c>
      <c r="D10" s="52" t="s">
        <v>40</v>
      </c>
      <c r="E10" s="18">
        <v>9800.0</v>
      </c>
      <c r="F10" s="18">
        <v>9300.0</v>
      </c>
      <c r="G10" s="18">
        <v>10200.0</v>
      </c>
      <c r="H10" s="18">
        <v>9300.0</v>
      </c>
      <c r="I10" s="47">
        <v>5.0</v>
      </c>
      <c r="J10" s="47" t="s">
        <v>222</v>
      </c>
      <c r="K10" s="47" t="s">
        <v>216</v>
      </c>
      <c r="L10" s="53" t="s">
        <v>212</v>
      </c>
      <c r="M10" s="49" t="s">
        <v>217</v>
      </c>
      <c r="N10" s="49" t="s">
        <v>223</v>
      </c>
      <c r="O10" s="49" t="s">
        <v>224</v>
      </c>
      <c r="P10" s="54" t="s">
        <v>215</v>
      </c>
      <c r="Q10" s="50">
        <v>1.0</v>
      </c>
      <c r="R10" s="51">
        <v>150000.0</v>
      </c>
    </row>
    <row r="11" ht="16.5" customHeight="1">
      <c r="A11" s="46" t="s">
        <v>82</v>
      </c>
      <c r="B11" s="46" t="s">
        <v>83</v>
      </c>
      <c r="C11" s="46" t="s">
        <v>84</v>
      </c>
      <c r="D11" s="46" t="s">
        <v>12</v>
      </c>
      <c r="E11" s="18">
        <v>4.8</v>
      </c>
      <c r="F11" s="18">
        <v>4.2</v>
      </c>
      <c r="G11" s="18">
        <v>5.0</v>
      </c>
      <c r="H11" s="18">
        <v>4.2</v>
      </c>
      <c r="I11" s="47">
        <v>4.0</v>
      </c>
      <c r="J11" s="47" t="s">
        <v>225</v>
      </c>
      <c r="K11" s="47" t="s">
        <v>201</v>
      </c>
      <c r="L11" s="48" t="s">
        <v>202</v>
      </c>
      <c r="M11" s="49" t="s">
        <v>226</v>
      </c>
      <c r="N11" s="49" t="s">
        <v>227</v>
      </c>
      <c r="O11" s="49" t="s">
        <v>228</v>
      </c>
      <c r="P11" s="26" t="s">
        <v>48</v>
      </c>
      <c r="Q11" s="50">
        <v>5.0</v>
      </c>
      <c r="R11" s="51">
        <v>200000.0</v>
      </c>
    </row>
    <row r="12" ht="16.5" customHeight="1">
      <c r="A12" s="52" t="s">
        <v>82</v>
      </c>
      <c r="B12" s="52" t="s">
        <v>90</v>
      </c>
      <c r="C12" s="52" t="s">
        <v>91</v>
      </c>
      <c r="D12" s="52" t="s">
        <v>92</v>
      </c>
      <c r="E12" s="18">
        <v>380.0</v>
      </c>
      <c r="F12" s="18">
        <v>345.0</v>
      </c>
      <c r="G12" s="18">
        <v>395.0</v>
      </c>
      <c r="H12" s="18">
        <v>345.0</v>
      </c>
      <c r="I12" s="47">
        <v>3.0</v>
      </c>
      <c r="J12" s="47" t="s">
        <v>206</v>
      </c>
      <c r="K12" s="47" t="s">
        <v>229</v>
      </c>
      <c r="L12" s="48" t="s">
        <v>202</v>
      </c>
      <c r="M12" s="49" t="s">
        <v>230</v>
      </c>
      <c r="N12" s="49" t="s">
        <v>231</v>
      </c>
      <c r="O12" s="49" t="s">
        <v>232</v>
      </c>
      <c r="P12" s="26" t="s">
        <v>48</v>
      </c>
      <c r="Q12" s="50">
        <v>5.0</v>
      </c>
      <c r="R12" s="51">
        <v>100000.0</v>
      </c>
    </row>
    <row r="13" ht="16.5" customHeight="1">
      <c r="A13" s="46" t="s">
        <v>94</v>
      </c>
      <c r="B13" s="46" t="s">
        <v>95</v>
      </c>
      <c r="C13" s="46" t="s">
        <v>96</v>
      </c>
      <c r="D13" s="46" t="s">
        <v>97</v>
      </c>
      <c r="E13" s="18">
        <v>62.0</v>
      </c>
      <c r="F13" s="18">
        <v>55.0</v>
      </c>
      <c r="G13" s="18">
        <v>64.0</v>
      </c>
      <c r="H13" s="18">
        <v>55.0</v>
      </c>
      <c r="I13" s="47">
        <v>4.0</v>
      </c>
      <c r="J13" s="47" t="s">
        <v>233</v>
      </c>
      <c r="K13" s="47" t="s">
        <v>216</v>
      </c>
      <c r="L13" s="48" t="s">
        <v>202</v>
      </c>
      <c r="M13" s="49" t="s">
        <v>234</v>
      </c>
      <c r="N13" s="49" t="s">
        <v>235</v>
      </c>
      <c r="O13" s="49" t="s">
        <v>236</v>
      </c>
      <c r="P13" s="54" t="s">
        <v>215</v>
      </c>
      <c r="Q13" s="50">
        <v>1.0</v>
      </c>
      <c r="R13" s="51">
        <v>50000.0</v>
      </c>
    </row>
    <row r="14" ht="16.5" customHeight="1">
      <c r="A14" s="52" t="s">
        <v>102</v>
      </c>
      <c r="B14" s="52" t="s">
        <v>103</v>
      </c>
      <c r="C14" s="52" t="s">
        <v>237</v>
      </c>
      <c r="D14" s="52" t="s">
        <v>71</v>
      </c>
      <c r="E14" s="18">
        <v>28.0</v>
      </c>
      <c r="F14" s="18">
        <v>25.0</v>
      </c>
      <c r="G14" s="18">
        <v>29.0</v>
      </c>
      <c r="H14" s="18">
        <v>25.0</v>
      </c>
      <c r="I14" s="47">
        <v>4.0</v>
      </c>
      <c r="J14" s="47" t="s">
        <v>238</v>
      </c>
      <c r="K14" s="47" t="s">
        <v>201</v>
      </c>
      <c r="L14" s="48" t="s">
        <v>202</v>
      </c>
      <c r="M14" s="49" t="s">
        <v>219</v>
      </c>
      <c r="N14" s="49" t="s">
        <v>220</v>
      </c>
      <c r="O14" s="49" t="s">
        <v>221</v>
      </c>
      <c r="P14" s="54" t="s">
        <v>215</v>
      </c>
      <c r="Q14" s="50">
        <v>1.0</v>
      </c>
      <c r="R14" s="51">
        <v>30000.0</v>
      </c>
    </row>
    <row r="15" ht="16.5" customHeight="1">
      <c r="A15" s="46" t="s">
        <v>107</v>
      </c>
      <c r="B15" s="46" t="s">
        <v>108</v>
      </c>
      <c r="C15" s="46" t="s">
        <v>109</v>
      </c>
      <c r="D15" s="46" t="s">
        <v>40</v>
      </c>
      <c r="E15" s="18">
        <v>3200.0</v>
      </c>
      <c r="F15" s="18">
        <v>3050.0</v>
      </c>
      <c r="G15" s="18">
        <v>3320.0</v>
      </c>
      <c r="H15" s="18">
        <v>3050.0</v>
      </c>
      <c r="I15" s="47">
        <v>5.0</v>
      </c>
      <c r="J15" s="47" t="s">
        <v>239</v>
      </c>
      <c r="K15" s="47" t="s">
        <v>207</v>
      </c>
      <c r="L15" s="48" t="s">
        <v>202</v>
      </c>
      <c r="M15" s="49" t="s">
        <v>240</v>
      </c>
      <c r="N15" s="49" t="s">
        <v>241</v>
      </c>
      <c r="O15" s="49" t="s">
        <v>242</v>
      </c>
      <c r="P15" s="26" t="s">
        <v>48</v>
      </c>
      <c r="Q15" s="50">
        <v>2.0</v>
      </c>
      <c r="R15" s="51">
        <v>300000.0</v>
      </c>
    </row>
    <row r="16" ht="16.5" customHeight="1">
      <c r="A16" s="52" t="s">
        <v>113</v>
      </c>
      <c r="B16" s="52" t="s">
        <v>114</v>
      </c>
      <c r="C16" s="52" t="s">
        <v>115</v>
      </c>
      <c r="D16" s="52" t="s">
        <v>117</v>
      </c>
      <c r="E16" s="18">
        <v>4.92</v>
      </c>
      <c r="F16" s="18">
        <v>4.5</v>
      </c>
      <c r="G16" s="18">
        <v>5.1</v>
      </c>
      <c r="H16" s="18">
        <v>4.5</v>
      </c>
      <c r="I16" s="47">
        <v>3.0</v>
      </c>
      <c r="J16" s="47" t="s">
        <v>243</v>
      </c>
      <c r="K16" s="47" t="s">
        <v>201</v>
      </c>
      <c r="L16" s="48" t="s">
        <v>202</v>
      </c>
      <c r="M16" s="49" t="s">
        <v>244</v>
      </c>
      <c r="N16" s="49" t="s">
        <v>245</v>
      </c>
      <c r="O16" s="49" t="s">
        <v>246</v>
      </c>
      <c r="P16" s="26" t="s">
        <v>48</v>
      </c>
      <c r="Q16" s="50">
        <v>5.0</v>
      </c>
      <c r="R16" s="51">
        <v>500000.0</v>
      </c>
    </row>
    <row r="17" ht="16.5" customHeight="1">
      <c r="A17" s="46" t="s">
        <v>113</v>
      </c>
      <c r="B17" s="46" t="s">
        <v>119</v>
      </c>
      <c r="C17" s="46" t="s">
        <v>120</v>
      </c>
      <c r="D17" s="46" t="s">
        <v>117</v>
      </c>
      <c r="E17" s="18">
        <v>5.15</v>
      </c>
      <c r="F17" s="18">
        <v>4.7</v>
      </c>
      <c r="G17" s="18">
        <v>5.35</v>
      </c>
      <c r="H17" s="18">
        <v>4.7</v>
      </c>
      <c r="I17" s="47">
        <v>3.0</v>
      </c>
      <c r="J17" s="47" t="s">
        <v>206</v>
      </c>
      <c r="K17" s="47" t="s">
        <v>201</v>
      </c>
      <c r="L17" s="48" t="s">
        <v>202</v>
      </c>
      <c r="M17" s="49" t="s">
        <v>244</v>
      </c>
      <c r="N17" s="49" t="s">
        <v>245</v>
      </c>
      <c r="O17" s="49" t="s">
        <v>246</v>
      </c>
      <c r="P17" s="26" t="s">
        <v>48</v>
      </c>
      <c r="Q17" s="50">
        <v>3.0</v>
      </c>
      <c r="R17" s="51">
        <v>300000.0</v>
      </c>
    </row>
    <row r="18" ht="16.5" customHeight="1">
      <c r="A18" s="52" t="s">
        <v>123</v>
      </c>
      <c r="B18" s="52" t="s">
        <v>124</v>
      </c>
      <c r="C18" s="52" t="s">
        <v>125</v>
      </c>
      <c r="D18" s="52" t="s">
        <v>40</v>
      </c>
      <c r="E18" s="18">
        <v>510.0</v>
      </c>
      <c r="F18" s="18">
        <v>470.0</v>
      </c>
      <c r="G18" s="18">
        <v>530.0</v>
      </c>
      <c r="H18" s="18">
        <v>470.0</v>
      </c>
      <c r="I18" s="47">
        <v>4.0</v>
      </c>
      <c r="J18" s="47" t="s">
        <v>206</v>
      </c>
      <c r="K18" s="47" t="s">
        <v>216</v>
      </c>
      <c r="L18" s="53" t="s">
        <v>212</v>
      </c>
      <c r="M18" s="49" t="s">
        <v>203</v>
      </c>
      <c r="N18" s="49" t="s">
        <v>204</v>
      </c>
      <c r="O18" s="49" t="s">
        <v>205</v>
      </c>
      <c r="P18" s="26" t="s">
        <v>48</v>
      </c>
      <c r="Q18" s="50">
        <v>2.0</v>
      </c>
      <c r="R18" s="51">
        <v>500000.0</v>
      </c>
    </row>
    <row r="19" ht="16.5" customHeight="1">
      <c r="A19" s="46" t="s">
        <v>130</v>
      </c>
      <c r="B19" s="46" t="s">
        <v>131</v>
      </c>
      <c r="C19" s="46" t="s">
        <v>132</v>
      </c>
      <c r="D19" s="46" t="s">
        <v>40</v>
      </c>
      <c r="E19" s="18">
        <v>1120.0</v>
      </c>
      <c r="F19" s="18">
        <v>1040.0</v>
      </c>
      <c r="G19" s="18">
        <v>1160.0</v>
      </c>
      <c r="H19" s="18">
        <v>1040.0</v>
      </c>
      <c r="I19" s="47">
        <v>5.0</v>
      </c>
      <c r="J19" s="47" t="s">
        <v>238</v>
      </c>
      <c r="K19" s="47" t="s">
        <v>207</v>
      </c>
      <c r="L19" s="48" t="s">
        <v>202</v>
      </c>
      <c r="M19" s="49" t="s">
        <v>208</v>
      </c>
      <c r="N19" s="49" t="s">
        <v>209</v>
      </c>
      <c r="O19" s="49" t="s">
        <v>210</v>
      </c>
      <c r="P19" s="26" t="s">
        <v>48</v>
      </c>
      <c r="Q19" s="50">
        <v>3.0</v>
      </c>
      <c r="R19" s="51">
        <v>300000.0</v>
      </c>
    </row>
    <row r="20" ht="16.5" customHeight="1">
      <c r="A20" s="52" t="s">
        <v>130</v>
      </c>
      <c r="B20" s="52" t="s">
        <v>137</v>
      </c>
      <c r="C20" s="52" t="s">
        <v>138</v>
      </c>
      <c r="D20" s="52" t="s">
        <v>40</v>
      </c>
      <c r="E20" s="18">
        <v>1050.0</v>
      </c>
      <c r="F20" s="18">
        <v>970.0</v>
      </c>
      <c r="G20" s="18">
        <v>1090.0</v>
      </c>
      <c r="H20" s="18">
        <v>970.0</v>
      </c>
      <c r="I20" s="47">
        <v>5.0</v>
      </c>
      <c r="J20" s="47" t="s">
        <v>239</v>
      </c>
      <c r="K20" s="47" t="s">
        <v>207</v>
      </c>
      <c r="L20" s="48" t="s">
        <v>202</v>
      </c>
      <c r="M20" s="49" t="s">
        <v>208</v>
      </c>
      <c r="N20" s="49" t="s">
        <v>209</v>
      </c>
      <c r="O20" s="49" t="s">
        <v>210</v>
      </c>
      <c r="P20" s="26" t="s">
        <v>48</v>
      </c>
      <c r="Q20" s="50">
        <v>3.0</v>
      </c>
      <c r="R20" s="51">
        <v>200000.0</v>
      </c>
    </row>
    <row r="21" ht="16.5" customHeight="1">
      <c r="A21" s="46" t="s">
        <v>130</v>
      </c>
      <c r="B21" s="46" t="s">
        <v>142</v>
      </c>
      <c r="C21" s="46" t="s">
        <v>143</v>
      </c>
      <c r="D21" s="46" t="s">
        <v>40</v>
      </c>
      <c r="E21" s="18">
        <v>980.0</v>
      </c>
      <c r="F21" s="18">
        <v>900.0</v>
      </c>
      <c r="G21" s="18">
        <v>1020.0</v>
      </c>
      <c r="H21" s="18">
        <v>900.0</v>
      </c>
      <c r="I21" s="47">
        <v>5.0</v>
      </c>
      <c r="J21" s="47" t="s">
        <v>222</v>
      </c>
      <c r="K21" s="47" t="s">
        <v>207</v>
      </c>
      <c r="L21" s="48" t="s">
        <v>202</v>
      </c>
      <c r="M21" s="49" t="s">
        <v>208</v>
      </c>
      <c r="N21" s="49" t="s">
        <v>209</v>
      </c>
      <c r="O21" s="49" t="s">
        <v>210</v>
      </c>
      <c r="P21" s="26" t="s">
        <v>48</v>
      </c>
      <c r="Q21" s="50">
        <v>3.0</v>
      </c>
      <c r="R21" s="51">
        <v>300000.0</v>
      </c>
    </row>
    <row r="22" ht="16.5" customHeight="1">
      <c r="A22" s="52" t="s">
        <v>147</v>
      </c>
      <c r="B22" s="52" t="s">
        <v>148</v>
      </c>
      <c r="C22" s="52" t="s">
        <v>247</v>
      </c>
      <c r="D22" s="52" t="s">
        <v>40</v>
      </c>
      <c r="E22" s="18">
        <v>1200.0</v>
      </c>
      <c r="F22" s="18">
        <v>1120.0</v>
      </c>
      <c r="G22" s="18">
        <v>1250.0</v>
      </c>
      <c r="H22" s="18">
        <v>1120.0</v>
      </c>
      <c r="I22" s="47">
        <v>4.0</v>
      </c>
      <c r="J22" s="47" t="s">
        <v>225</v>
      </c>
      <c r="K22" s="47" t="s">
        <v>216</v>
      </c>
      <c r="L22" s="48" t="s">
        <v>202</v>
      </c>
      <c r="M22" s="49" t="s">
        <v>208</v>
      </c>
      <c r="N22" s="49" t="s">
        <v>209</v>
      </c>
      <c r="O22" s="49" t="s">
        <v>210</v>
      </c>
      <c r="P22" s="26" t="s">
        <v>48</v>
      </c>
      <c r="Q22" s="50">
        <v>2.0</v>
      </c>
      <c r="R22" s="51">
        <v>200000.0</v>
      </c>
    </row>
    <row r="23" ht="16.5" customHeight="1">
      <c r="A23" s="46" t="s">
        <v>152</v>
      </c>
      <c r="B23" s="46" t="s">
        <v>153</v>
      </c>
      <c r="C23" s="46" t="s">
        <v>154</v>
      </c>
      <c r="D23" s="46" t="s">
        <v>40</v>
      </c>
      <c r="E23" s="18">
        <v>560.0</v>
      </c>
      <c r="F23" s="18">
        <v>520.0</v>
      </c>
      <c r="G23" s="18">
        <v>580.0</v>
      </c>
      <c r="H23" s="18">
        <v>520.0</v>
      </c>
      <c r="I23" s="47">
        <v>5.0</v>
      </c>
      <c r="J23" s="47" t="s">
        <v>238</v>
      </c>
      <c r="K23" s="47" t="s">
        <v>216</v>
      </c>
      <c r="L23" s="48" t="s">
        <v>202</v>
      </c>
      <c r="M23" s="49" t="s">
        <v>208</v>
      </c>
      <c r="N23" s="49" t="s">
        <v>209</v>
      </c>
      <c r="O23" s="49" t="s">
        <v>210</v>
      </c>
      <c r="P23" s="54" t="s">
        <v>215</v>
      </c>
      <c r="Q23" s="50">
        <v>1.0</v>
      </c>
      <c r="R23" s="51">
        <v>150000.0</v>
      </c>
    </row>
    <row r="24" ht="16.5" customHeight="1">
      <c r="A24" s="52" t="s">
        <v>157</v>
      </c>
      <c r="B24" s="52" t="s">
        <v>158</v>
      </c>
      <c r="C24" s="52" t="s">
        <v>159</v>
      </c>
      <c r="D24" s="52" t="s">
        <v>40</v>
      </c>
      <c r="E24" s="18">
        <v>580.0</v>
      </c>
      <c r="F24" s="18">
        <v>530.0</v>
      </c>
      <c r="G24" s="18">
        <v>600.0</v>
      </c>
      <c r="H24" s="18">
        <v>530.0</v>
      </c>
      <c r="I24" s="47">
        <v>4.0</v>
      </c>
      <c r="J24" s="47" t="s">
        <v>248</v>
      </c>
      <c r="K24" s="47" t="s">
        <v>207</v>
      </c>
      <c r="L24" s="53" t="s">
        <v>212</v>
      </c>
      <c r="M24" s="49" t="s">
        <v>249</v>
      </c>
      <c r="N24" s="49" t="s">
        <v>250</v>
      </c>
      <c r="O24" s="49" t="s">
        <v>251</v>
      </c>
      <c r="P24" s="54" t="s">
        <v>215</v>
      </c>
      <c r="Q24" s="50">
        <v>1.0</v>
      </c>
      <c r="R24" s="51">
        <v>50000.0</v>
      </c>
    </row>
    <row r="25" ht="16.5" customHeight="1">
      <c r="A25" s="46" t="s">
        <v>157</v>
      </c>
      <c r="B25" s="46" t="s">
        <v>164</v>
      </c>
      <c r="C25" s="46" t="s">
        <v>252</v>
      </c>
      <c r="D25" s="46" t="s">
        <v>40</v>
      </c>
      <c r="E25" s="18">
        <v>420.0</v>
      </c>
      <c r="F25" s="18">
        <v>385.0</v>
      </c>
      <c r="G25" s="18">
        <v>435.0</v>
      </c>
      <c r="H25" s="18">
        <v>385.0</v>
      </c>
      <c r="I25" s="47">
        <v>4.0</v>
      </c>
      <c r="J25" s="47" t="s">
        <v>238</v>
      </c>
      <c r="K25" s="47" t="s">
        <v>207</v>
      </c>
      <c r="L25" s="53" t="s">
        <v>212</v>
      </c>
      <c r="M25" s="49" t="s">
        <v>249</v>
      </c>
      <c r="N25" s="49" t="s">
        <v>250</v>
      </c>
      <c r="O25" s="49" t="s">
        <v>251</v>
      </c>
      <c r="P25" s="54" t="s">
        <v>215</v>
      </c>
      <c r="Q25" s="50">
        <v>1.0</v>
      </c>
      <c r="R25" s="51">
        <v>40000.0</v>
      </c>
    </row>
    <row r="26" ht="16.5" customHeight="1">
      <c r="A26" s="52" t="s">
        <v>166</v>
      </c>
      <c r="B26" s="52" t="s">
        <v>167</v>
      </c>
      <c r="C26" s="52" t="s">
        <v>168</v>
      </c>
      <c r="D26" s="52" t="s">
        <v>40</v>
      </c>
      <c r="E26" s="18">
        <v>450.0</v>
      </c>
      <c r="F26" s="18">
        <v>415.0</v>
      </c>
      <c r="G26" s="18">
        <v>468.0</v>
      </c>
      <c r="H26" s="18">
        <v>415.0</v>
      </c>
      <c r="I26" s="47">
        <v>5.0</v>
      </c>
      <c r="J26" s="47" t="s">
        <v>218</v>
      </c>
      <c r="K26" s="47" t="s">
        <v>207</v>
      </c>
      <c r="L26" s="48" t="s">
        <v>202</v>
      </c>
      <c r="M26" s="49" t="s">
        <v>208</v>
      </c>
      <c r="N26" s="49" t="s">
        <v>209</v>
      </c>
      <c r="O26" s="49" t="s">
        <v>210</v>
      </c>
      <c r="P26" s="26" t="s">
        <v>48</v>
      </c>
      <c r="Q26" s="50">
        <v>2.0</v>
      </c>
      <c r="R26" s="51">
        <v>200000.0</v>
      </c>
    </row>
    <row r="27" ht="16.5" customHeight="1">
      <c r="A27" s="46" t="s">
        <v>166</v>
      </c>
      <c r="B27" s="46" t="s">
        <v>170</v>
      </c>
      <c r="C27" s="46" t="s">
        <v>171</v>
      </c>
      <c r="D27" s="46" t="s">
        <v>40</v>
      </c>
      <c r="E27" s="18">
        <v>620.0</v>
      </c>
      <c r="F27" s="18">
        <v>570.0</v>
      </c>
      <c r="G27" s="18">
        <v>645.0</v>
      </c>
      <c r="H27" s="18">
        <v>570.0</v>
      </c>
      <c r="I27" s="47">
        <v>5.0</v>
      </c>
      <c r="J27" s="47" t="s">
        <v>218</v>
      </c>
      <c r="K27" s="47" t="s">
        <v>207</v>
      </c>
      <c r="L27" s="48" t="s">
        <v>202</v>
      </c>
      <c r="M27" s="49" t="s">
        <v>208</v>
      </c>
      <c r="N27" s="49" t="s">
        <v>209</v>
      </c>
      <c r="O27" s="49" t="s">
        <v>210</v>
      </c>
      <c r="P27" s="26" t="s">
        <v>48</v>
      </c>
      <c r="Q27" s="50">
        <v>2.0</v>
      </c>
      <c r="R27" s="51">
        <v>200000.0</v>
      </c>
    </row>
    <row r="28" ht="16.5" customHeight="1">
      <c r="A28" s="52" t="s">
        <v>173</v>
      </c>
      <c r="B28" s="52" t="s">
        <v>174</v>
      </c>
      <c r="C28" s="52" t="s">
        <v>175</v>
      </c>
      <c r="D28" s="52" t="s">
        <v>40</v>
      </c>
      <c r="E28" s="18">
        <v>1280.0</v>
      </c>
      <c r="F28" s="18">
        <v>1190.0</v>
      </c>
      <c r="G28" s="18">
        <v>1330.0</v>
      </c>
      <c r="H28" s="18">
        <v>1190.0</v>
      </c>
      <c r="I28" s="47">
        <v>5.0</v>
      </c>
      <c r="J28" s="47" t="s">
        <v>206</v>
      </c>
      <c r="K28" s="47" t="s">
        <v>216</v>
      </c>
      <c r="L28" s="48" t="s">
        <v>202</v>
      </c>
      <c r="M28" s="49" t="s">
        <v>213</v>
      </c>
      <c r="N28" s="49" t="s">
        <v>214</v>
      </c>
      <c r="O28" s="49" t="s">
        <v>210</v>
      </c>
      <c r="P28" s="54" t="s">
        <v>215</v>
      </c>
      <c r="Q28" s="50">
        <v>1.0</v>
      </c>
      <c r="R28" s="51">
        <v>100000.0</v>
      </c>
    </row>
    <row r="29" ht="16.5" customHeight="1">
      <c r="A29" s="46" t="s">
        <v>173</v>
      </c>
      <c r="B29" s="46" t="s">
        <v>178</v>
      </c>
      <c r="C29" s="46" t="s">
        <v>179</v>
      </c>
      <c r="D29" s="46" t="s">
        <v>40</v>
      </c>
      <c r="E29" s="18">
        <v>1220.0</v>
      </c>
      <c r="F29" s="18">
        <v>1140.0</v>
      </c>
      <c r="G29" s="18">
        <v>1270.0</v>
      </c>
      <c r="H29" s="18">
        <v>1140.0</v>
      </c>
      <c r="I29" s="47">
        <v>5.0</v>
      </c>
      <c r="J29" s="47" t="s">
        <v>222</v>
      </c>
      <c r="K29" s="47" t="s">
        <v>216</v>
      </c>
      <c r="L29" s="48" t="s">
        <v>202</v>
      </c>
      <c r="M29" s="49" t="s">
        <v>213</v>
      </c>
      <c r="N29" s="49" t="s">
        <v>214</v>
      </c>
      <c r="O29" s="49" t="s">
        <v>210</v>
      </c>
      <c r="P29" s="54" t="s">
        <v>215</v>
      </c>
      <c r="Q29" s="50">
        <v>1.0</v>
      </c>
      <c r="R29" s="51">
        <v>100000.0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R1"/>
    <mergeCell ref="A2:R2"/>
    <mergeCell ref="A3:D3"/>
    <mergeCell ref="E3:H3"/>
    <mergeCell ref="I3:L3"/>
    <mergeCell ref="M3:O3"/>
    <mergeCell ref="P3:R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2.0"/>
    <col customWidth="1" min="4" max="5" width="20.0"/>
    <col customWidth="1" min="6" max="6" width="13.0"/>
    <col customWidth="1" min="7" max="7" width="12.0"/>
    <col customWidth="1" min="8" max="8" width="13.0"/>
    <col customWidth="1" min="9" max="9" width="12.0"/>
    <col customWidth="1" min="10" max="10" width="13.0"/>
    <col customWidth="1" min="11" max="11" width="12.0"/>
    <col customWidth="1" min="12" max="12" width="10.0"/>
    <col customWidth="1" min="13" max="13" width="16.0"/>
    <col customWidth="1" min="14" max="14" width="8.0"/>
  </cols>
  <sheetData>
    <row r="1" ht="27.75" customHeight="1">
      <c r="A1" s="44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5.0" customHeight="1">
      <c r="A2" s="4" t="s">
        <v>254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3.5" customHeight="1">
      <c r="A3" s="8" t="s">
        <v>255</v>
      </c>
      <c r="B3" s="6"/>
      <c r="C3" s="6"/>
      <c r="D3" s="6"/>
      <c r="E3" s="45"/>
      <c r="F3" s="9" t="s">
        <v>256</v>
      </c>
      <c r="G3" s="6"/>
      <c r="H3" s="6"/>
      <c r="I3" s="6"/>
      <c r="J3" s="45"/>
      <c r="K3" s="10" t="s">
        <v>257</v>
      </c>
      <c r="L3" s="6"/>
      <c r="M3" s="45"/>
      <c r="N3" s="55" t="s">
        <v>258</v>
      </c>
    </row>
    <row r="4" ht="27.75" customHeight="1">
      <c r="A4" s="13" t="s">
        <v>259</v>
      </c>
      <c r="B4" s="13" t="s">
        <v>260</v>
      </c>
      <c r="C4" s="13" t="s">
        <v>11</v>
      </c>
      <c r="D4" s="13" t="s">
        <v>19</v>
      </c>
      <c r="E4" s="13" t="s">
        <v>20</v>
      </c>
      <c r="F4" s="14" t="s">
        <v>14</v>
      </c>
      <c r="G4" s="14" t="s">
        <v>16</v>
      </c>
      <c r="H4" s="14" t="s">
        <v>17</v>
      </c>
      <c r="I4" s="14" t="s">
        <v>25</v>
      </c>
      <c r="J4" s="14" t="s">
        <v>26</v>
      </c>
      <c r="K4" s="15" t="s">
        <v>22</v>
      </c>
      <c r="L4" s="15" t="s">
        <v>23</v>
      </c>
      <c r="M4" s="15" t="s">
        <v>27</v>
      </c>
      <c r="N4" s="12" t="s">
        <v>35</v>
      </c>
    </row>
    <row r="5" ht="16.5" customHeight="1">
      <c r="A5" s="56" t="s">
        <v>261</v>
      </c>
      <c r="B5" s="17" t="s">
        <v>262</v>
      </c>
      <c r="C5" s="17" t="s">
        <v>39</v>
      </c>
      <c r="D5" s="57" t="s">
        <v>41</v>
      </c>
      <c r="E5" s="57" t="s">
        <v>42</v>
      </c>
      <c r="F5" s="18">
        <v>2840.0</v>
      </c>
      <c r="G5" s="18">
        <v>45.0</v>
      </c>
      <c r="H5" s="58" t="str">
        <f t="shared" ref="H5:H34" si="1">F5+G5</f>
        <v>2,885.00</v>
      </c>
      <c r="I5" s="23">
        <v>0.05</v>
      </c>
      <c r="J5" s="58" t="str">
        <f t="shared" ref="J5:J34" si="2">H5*(1+I5)</f>
        <v>3,029.25</v>
      </c>
      <c r="K5" s="59">
        <v>7.0</v>
      </c>
      <c r="L5" s="17" t="s">
        <v>43</v>
      </c>
      <c r="M5" s="17" t="s">
        <v>45</v>
      </c>
      <c r="N5" s="26" t="s">
        <v>48</v>
      </c>
    </row>
    <row r="6" ht="16.5" customHeight="1">
      <c r="A6" s="56" t="s">
        <v>263</v>
      </c>
      <c r="B6" s="27" t="s">
        <v>262</v>
      </c>
      <c r="C6" s="27" t="s">
        <v>39</v>
      </c>
      <c r="D6" s="57" t="s">
        <v>41</v>
      </c>
      <c r="E6" s="57" t="s">
        <v>72</v>
      </c>
      <c r="F6" s="18">
        <v>2840.0</v>
      </c>
      <c r="G6" s="18">
        <v>52.0</v>
      </c>
      <c r="H6" s="58" t="str">
        <f t="shared" si="1"/>
        <v>2,892.00</v>
      </c>
      <c r="I6" s="23">
        <v>0.05</v>
      </c>
      <c r="J6" s="58" t="str">
        <f t="shared" si="2"/>
        <v>3,036.60</v>
      </c>
      <c r="K6" s="60">
        <v>8.0</v>
      </c>
      <c r="L6" s="27" t="s">
        <v>43</v>
      </c>
      <c r="M6" s="27" t="s">
        <v>45</v>
      </c>
      <c r="N6" s="26" t="s">
        <v>48</v>
      </c>
    </row>
    <row r="7" ht="16.5" customHeight="1">
      <c r="A7" s="56" t="s">
        <v>264</v>
      </c>
      <c r="B7" s="17" t="s">
        <v>262</v>
      </c>
      <c r="C7" s="17" t="s">
        <v>39</v>
      </c>
      <c r="D7" s="57" t="s">
        <v>41</v>
      </c>
      <c r="E7" s="57" t="s">
        <v>64</v>
      </c>
      <c r="F7" s="18">
        <v>2840.0</v>
      </c>
      <c r="G7" s="18">
        <v>38.0</v>
      </c>
      <c r="H7" s="58" t="str">
        <f t="shared" si="1"/>
        <v>2,878.00</v>
      </c>
      <c r="I7" s="23">
        <v>0.0</v>
      </c>
      <c r="J7" s="58" t="str">
        <f t="shared" si="2"/>
        <v>2,878.00</v>
      </c>
      <c r="K7" s="59">
        <v>6.0</v>
      </c>
      <c r="L7" s="17" t="s">
        <v>43</v>
      </c>
      <c r="M7" s="17" t="s">
        <v>66</v>
      </c>
      <c r="N7" s="26" t="s">
        <v>48</v>
      </c>
    </row>
    <row r="8" ht="16.5" customHeight="1">
      <c r="A8" s="56" t="s">
        <v>265</v>
      </c>
      <c r="B8" s="27" t="s">
        <v>262</v>
      </c>
      <c r="C8" s="27" t="s">
        <v>39</v>
      </c>
      <c r="D8" s="57" t="s">
        <v>110</v>
      </c>
      <c r="E8" s="57" t="s">
        <v>42</v>
      </c>
      <c r="F8" s="18">
        <v>2840.0</v>
      </c>
      <c r="G8" s="18">
        <v>42.0</v>
      </c>
      <c r="H8" s="58" t="str">
        <f t="shared" si="1"/>
        <v>2,882.00</v>
      </c>
      <c r="I8" s="23">
        <v>0.05</v>
      </c>
      <c r="J8" s="58" t="str">
        <f t="shared" si="2"/>
        <v>3,026.10</v>
      </c>
      <c r="K8" s="60">
        <v>7.0</v>
      </c>
      <c r="L8" s="27" t="s">
        <v>43</v>
      </c>
      <c r="M8" s="27" t="s">
        <v>45</v>
      </c>
      <c r="N8" s="26" t="s">
        <v>48</v>
      </c>
    </row>
    <row r="9" ht="16.5" customHeight="1">
      <c r="A9" s="56" t="s">
        <v>266</v>
      </c>
      <c r="B9" s="17" t="s">
        <v>267</v>
      </c>
      <c r="C9" s="17" t="s">
        <v>39</v>
      </c>
      <c r="D9" s="57" t="s">
        <v>41</v>
      </c>
      <c r="E9" s="57" t="s">
        <v>51</v>
      </c>
      <c r="F9" s="18">
        <v>3100.0</v>
      </c>
      <c r="G9" s="18">
        <v>55.0</v>
      </c>
      <c r="H9" s="58" t="str">
        <f t="shared" si="1"/>
        <v>3,155.00</v>
      </c>
      <c r="I9" s="23">
        <v>0.05</v>
      </c>
      <c r="J9" s="58" t="str">
        <f t="shared" si="2"/>
        <v>3,312.75</v>
      </c>
      <c r="K9" s="59">
        <v>10.0</v>
      </c>
      <c r="L9" s="17" t="s">
        <v>43</v>
      </c>
      <c r="M9" s="17" t="s">
        <v>45</v>
      </c>
      <c r="N9" s="26" t="s">
        <v>48</v>
      </c>
    </row>
    <row r="10" ht="16.5" customHeight="1">
      <c r="A10" s="56" t="s">
        <v>268</v>
      </c>
      <c r="B10" s="27" t="s">
        <v>267</v>
      </c>
      <c r="C10" s="27" t="s">
        <v>39</v>
      </c>
      <c r="D10" s="57" t="s">
        <v>56</v>
      </c>
      <c r="E10" s="57" t="s">
        <v>41</v>
      </c>
      <c r="F10" s="18">
        <v>3100.0</v>
      </c>
      <c r="G10" s="18">
        <v>75.0</v>
      </c>
      <c r="H10" s="58" t="str">
        <f t="shared" si="1"/>
        <v>3,175.00</v>
      </c>
      <c r="I10" s="23">
        <v>0.0</v>
      </c>
      <c r="J10" s="58" t="str">
        <f t="shared" si="2"/>
        <v>3,175.00</v>
      </c>
      <c r="K10" s="60">
        <v>14.0</v>
      </c>
      <c r="L10" s="27" t="s">
        <v>43</v>
      </c>
      <c r="M10" s="27" t="s">
        <v>58</v>
      </c>
      <c r="N10" s="26" t="s">
        <v>48</v>
      </c>
    </row>
    <row r="11" ht="16.5" customHeight="1">
      <c r="A11" s="56" t="s">
        <v>269</v>
      </c>
      <c r="B11" s="17" t="s">
        <v>63</v>
      </c>
      <c r="C11" s="17" t="s">
        <v>39</v>
      </c>
      <c r="D11" s="57" t="s">
        <v>41</v>
      </c>
      <c r="E11" s="57" t="s">
        <v>64</v>
      </c>
      <c r="F11" s="18">
        <v>9200.0</v>
      </c>
      <c r="G11" s="18">
        <v>75.0</v>
      </c>
      <c r="H11" s="58" t="str">
        <f t="shared" si="1"/>
        <v>9,275.00</v>
      </c>
      <c r="I11" s="23">
        <v>0.0</v>
      </c>
      <c r="J11" s="58" t="str">
        <f t="shared" si="2"/>
        <v>9,275.00</v>
      </c>
      <c r="K11" s="59">
        <v>8.0</v>
      </c>
      <c r="L11" s="17" t="s">
        <v>43</v>
      </c>
      <c r="M11" s="17" t="s">
        <v>66</v>
      </c>
      <c r="N11" s="26" t="s">
        <v>48</v>
      </c>
    </row>
    <row r="12" ht="16.5" customHeight="1">
      <c r="A12" s="56" t="s">
        <v>270</v>
      </c>
      <c r="B12" s="27" t="s">
        <v>63</v>
      </c>
      <c r="C12" s="27" t="s">
        <v>39</v>
      </c>
      <c r="D12" s="57" t="s">
        <v>41</v>
      </c>
      <c r="E12" s="57" t="s">
        <v>72</v>
      </c>
      <c r="F12" s="18">
        <v>9200.0</v>
      </c>
      <c r="G12" s="18">
        <v>82.0</v>
      </c>
      <c r="H12" s="58" t="str">
        <f t="shared" si="1"/>
        <v>9,282.00</v>
      </c>
      <c r="I12" s="23">
        <v>0.0</v>
      </c>
      <c r="J12" s="58" t="str">
        <f t="shared" si="2"/>
        <v>9,282.00</v>
      </c>
      <c r="K12" s="60">
        <v>9.0</v>
      </c>
      <c r="L12" s="27" t="s">
        <v>43</v>
      </c>
      <c r="M12" s="27" t="s">
        <v>66</v>
      </c>
      <c r="N12" s="26" t="s">
        <v>48</v>
      </c>
    </row>
    <row r="13" ht="16.5" customHeight="1">
      <c r="A13" s="56" t="s">
        <v>271</v>
      </c>
      <c r="B13" s="17" t="s">
        <v>272</v>
      </c>
      <c r="C13" s="17" t="s">
        <v>39</v>
      </c>
      <c r="D13" s="57" t="s">
        <v>78</v>
      </c>
      <c r="E13" s="57" t="s">
        <v>41</v>
      </c>
      <c r="F13" s="18">
        <v>9800.0</v>
      </c>
      <c r="G13" s="18">
        <v>90.0</v>
      </c>
      <c r="H13" s="58" t="str">
        <f t="shared" si="1"/>
        <v>9,890.00</v>
      </c>
      <c r="I13" s="23">
        <v>0.0</v>
      </c>
      <c r="J13" s="58" t="str">
        <f t="shared" si="2"/>
        <v>9,890.00</v>
      </c>
      <c r="K13" s="59">
        <v>12.0</v>
      </c>
      <c r="L13" s="17" t="s">
        <v>79</v>
      </c>
      <c r="M13" s="17" t="s">
        <v>45</v>
      </c>
      <c r="N13" s="26" t="s">
        <v>48</v>
      </c>
    </row>
    <row r="14" ht="16.5" customHeight="1">
      <c r="A14" s="56" t="s">
        <v>273</v>
      </c>
      <c r="B14" s="32" t="s">
        <v>84</v>
      </c>
      <c r="C14" s="32" t="s">
        <v>85</v>
      </c>
      <c r="D14" s="57" t="s">
        <v>41</v>
      </c>
      <c r="E14" s="57" t="s">
        <v>86</v>
      </c>
      <c r="F14" s="18">
        <v>4.8</v>
      </c>
      <c r="G14" s="18">
        <v>0.3</v>
      </c>
      <c r="H14" s="58" t="str">
        <f t="shared" si="1"/>
        <v>5.10</v>
      </c>
      <c r="I14" s="23">
        <v>0.05</v>
      </c>
      <c r="J14" s="58" t="str">
        <f t="shared" si="2"/>
        <v>5.36</v>
      </c>
      <c r="K14" s="61">
        <v>3.0</v>
      </c>
      <c r="L14" s="32" t="s">
        <v>87</v>
      </c>
      <c r="M14" s="32" t="s">
        <v>66</v>
      </c>
      <c r="N14" s="26" t="s">
        <v>48</v>
      </c>
    </row>
    <row r="15" ht="16.5" customHeight="1">
      <c r="A15" s="56" t="s">
        <v>274</v>
      </c>
      <c r="B15" s="30" t="s">
        <v>84</v>
      </c>
      <c r="C15" s="30" t="s">
        <v>85</v>
      </c>
      <c r="D15" s="57" t="s">
        <v>41</v>
      </c>
      <c r="E15" s="57" t="s">
        <v>275</v>
      </c>
      <c r="F15" s="18">
        <v>4.8</v>
      </c>
      <c r="G15" s="18">
        <v>0.5</v>
      </c>
      <c r="H15" s="58" t="str">
        <f t="shared" si="1"/>
        <v>5.30</v>
      </c>
      <c r="I15" s="23">
        <v>0.05</v>
      </c>
      <c r="J15" s="58" t="str">
        <f t="shared" si="2"/>
        <v>5.57</v>
      </c>
      <c r="K15" s="62">
        <v>4.0</v>
      </c>
      <c r="L15" s="30" t="s">
        <v>87</v>
      </c>
      <c r="M15" s="30" t="s">
        <v>66</v>
      </c>
      <c r="N15" s="26" t="s">
        <v>48</v>
      </c>
    </row>
    <row r="16" ht="16.5" customHeight="1">
      <c r="A16" s="56" t="s">
        <v>276</v>
      </c>
      <c r="B16" s="32" t="s">
        <v>277</v>
      </c>
      <c r="C16" s="32" t="s">
        <v>85</v>
      </c>
      <c r="D16" s="57" t="s">
        <v>98</v>
      </c>
      <c r="E16" s="57" t="s">
        <v>41</v>
      </c>
      <c r="F16" s="18">
        <v>62.0</v>
      </c>
      <c r="G16" s="18">
        <v>8.0</v>
      </c>
      <c r="H16" s="58" t="str">
        <f t="shared" si="1"/>
        <v>70.00</v>
      </c>
      <c r="I16" s="23">
        <v>0.05</v>
      </c>
      <c r="J16" s="58" t="str">
        <f t="shared" si="2"/>
        <v>73.50</v>
      </c>
      <c r="K16" s="61">
        <v>12.0</v>
      </c>
      <c r="L16" s="32" t="s">
        <v>79</v>
      </c>
      <c r="M16" s="32" t="s">
        <v>100</v>
      </c>
      <c r="N16" s="26" t="s">
        <v>48</v>
      </c>
    </row>
    <row r="17" ht="16.5" customHeight="1">
      <c r="A17" s="56" t="s">
        <v>278</v>
      </c>
      <c r="B17" s="30" t="s">
        <v>279</v>
      </c>
      <c r="C17" s="30" t="s">
        <v>85</v>
      </c>
      <c r="D17" s="57" t="s">
        <v>110</v>
      </c>
      <c r="E17" s="57" t="s">
        <v>42</v>
      </c>
      <c r="F17" s="18">
        <v>3200.0</v>
      </c>
      <c r="G17" s="18">
        <v>48.0</v>
      </c>
      <c r="H17" s="58" t="str">
        <f t="shared" si="1"/>
        <v>3,248.00</v>
      </c>
      <c r="I17" s="23">
        <v>0.05</v>
      </c>
      <c r="J17" s="58" t="str">
        <f t="shared" si="2"/>
        <v>3,410.40</v>
      </c>
      <c r="K17" s="62">
        <v>8.0</v>
      </c>
      <c r="L17" s="30" t="s">
        <v>43</v>
      </c>
      <c r="M17" s="30" t="s">
        <v>45</v>
      </c>
      <c r="N17" s="26" t="s">
        <v>48</v>
      </c>
    </row>
    <row r="18" ht="16.5" customHeight="1">
      <c r="A18" s="56" t="s">
        <v>280</v>
      </c>
      <c r="B18" s="32" t="s">
        <v>279</v>
      </c>
      <c r="C18" s="32" t="s">
        <v>85</v>
      </c>
      <c r="D18" s="57" t="s">
        <v>110</v>
      </c>
      <c r="E18" s="57" t="s">
        <v>72</v>
      </c>
      <c r="F18" s="18">
        <v>3200.0</v>
      </c>
      <c r="G18" s="18">
        <v>55.0</v>
      </c>
      <c r="H18" s="58" t="str">
        <f t="shared" si="1"/>
        <v>3,255.00</v>
      </c>
      <c r="I18" s="23">
        <v>0.05</v>
      </c>
      <c r="J18" s="58" t="str">
        <f t="shared" si="2"/>
        <v>3,417.75</v>
      </c>
      <c r="K18" s="61">
        <v>9.0</v>
      </c>
      <c r="L18" s="32" t="s">
        <v>43</v>
      </c>
      <c r="M18" s="32" t="s">
        <v>45</v>
      </c>
      <c r="N18" s="26" t="s">
        <v>48</v>
      </c>
    </row>
    <row r="19" ht="16.5" customHeight="1">
      <c r="A19" s="56" t="s">
        <v>281</v>
      </c>
      <c r="B19" s="35" t="s">
        <v>115</v>
      </c>
      <c r="C19" s="35" t="s">
        <v>116</v>
      </c>
      <c r="D19" s="57" t="s">
        <v>41</v>
      </c>
      <c r="E19" s="57" t="s">
        <v>72</v>
      </c>
      <c r="F19" s="18">
        <v>4.92</v>
      </c>
      <c r="G19" s="18">
        <v>0.15</v>
      </c>
      <c r="H19" s="58" t="str">
        <f t="shared" si="1"/>
        <v>5.07</v>
      </c>
      <c r="I19" s="23">
        <v>0.0</v>
      </c>
      <c r="J19" s="58" t="str">
        <f t="shared" si="2"/>
        <v>5.07</v>
      </c>
      <c r="K19" s="63">
        <v>2.0</v>
      </c>
      <c r="L19" s="35" t="s">
        <v>87</v>
      </c>
      <c r="M19" s="35" t="s">
        <v>66</v>
      </c>
      <c r="N19" s="26" t="s">
        <v>48</v>
      </c>
    </row>
    <row r="20" ht="16.5" customHeight="1">
      <c r="A20" s="56" t="s">
        <v>282</v>
      </c>
      <c r="B20" s="34" t="s">
        <v>115</v>
      </c>
      <c r="C20" s="34" t="s">
        <v>116</v>
      </c>
      <c r="D20" s="57" t="s">
        <v>41</v>
      </c>
      <c r="E20" s="57" t="s">
        <v>121</v>
      </c>
      <c r="F20" s="18">
        <v>4.92</v>
      </c>
      <c r="G20" s="18">
        <v>0.18</v>
      </c>
      <c r="H20" s="58" t="str">
        <f t="shared" si="1"/>
        <v>5.10</v>
      </c>
      <c r="I20" s="23">
        <v>0.0</v>
      </c>
      <c r="J20" s="58" t="str">
        <f t="shared" si="2"/>
        <v>5.10</v>
      </c>
      <c r="K20" s="64">
        <v>3.0</v>
      </c>
      <c r="L20" s="34" t="s">
        <v>87</v>
      </c>
      <c r="M20" s="34" t="s">
        <v>66</v>
      </c>
      <c r="N20" s="26" t="s">
        <v>48</v>
      </c>
    </row>
    <row r="21" ht="16.5" customHeight="1">
      <c r="A21" s="56" t="s">
        <v>283</v>
      </c>
      <c r="B21" s="35" t="s">
        <v>125</v>
      </c>
      <c r="C21" s="35" t="s">
        <v>116</v>
      </c>
      <c r="D21" s="57" t="s">
        <v>126</v>
      </c>
      <c r="E21" s="57" t="s">
        <v>127</v>
      </c>
      <c r="F21" s="18">
        <v>510.0</v>
      </c>
      <c r="G21" s="18">
        <v>22.0</v>
      </c>
      <c r="H21" s="58" t="str">
        <f t="shared" si="1"/>
        <v>532.00</v>
      </c>
      <c r="I21" s="23">
        <v>0.0</v>
      </c>
      <c r="J21" s="58" t="str">
        <f t="shared" si="2"/>
        <v>532.00</v>
      </c>
      <c r="K21" s="63">
        <v>5.0</v>
      </c>
      <c r="L21" s="35" t="s">
        <v>43</v>
      </c>
      <c r="M21" s="35" t="s">
        <v>128</v>
      </c>
      <c r="N21" s="26" t="s">
        <v>48</v>
      </c>
    </row>
    <row r="22" ht="16.5" customHeight="1">
      <c r="A22" s="56" t="s">
        <v>284</v>
      </c>
      <c r="B22" s="37" t="s">
        <v>285</v>
      </c>
      <c r="C22" s="37" t="s">
        <v>133</v>
      </c>
      <c r="D22" s="57" t="s">
        <v>134</v>
      </c>
      <c r="E22" s="57" t="s">
        <v>42</v>
      </c>
      <c r="F22" s="18">
        <v>1120.0</v>
      </c>
      <c r="G22" s="18">
        <v>38.0</v>
      </c>
      <c r="H22" s="58" t="str">
        <f t="shared" si="1"/>
        <v>1,158.00</v>
      </c>
      <c r="I22" s="23">
        <v>0.0</v>
      </c>
      <c r="J22" s="58" t="str">
        <f t="shared" si="2"/>
        <v>1,158.00</v>
      </c>
      <c r="K22" s="65">
        <v>14.0</v>
      </c>
      <c r="L22" s="37" t="s">
        <v>79</v>
      </c>
      <c r="M22" s="37" t="s">
        <v>45</v>
      </c>
      <c r="N22" s="26" t="s">
        <v>48</v>
      </c>
    </row>
    <row r="23" ht="16.5" customHeight="1">
      <c r="A23" s="56" t="s">
        <v>286</v>
      </c>
      <c r="B23" s="36" t="s">
        <v>285</v>
      </c>
      <c r="C23" s="36" t="s">
        <v>133</v>
      </c>
      <c r="D23" s="57" t="s">
        <v>134</v>
      </c>
      <c r="E23" s="57" t="s">
        <v>140</v>
      </c>
      <c r="F23" s="18">
        <v>1120.0</v>
      </c>
      <c r="G23" s="18">
        <v>45.0</v>
      </c>
      <c r="H23" s="58" t="str">
        <f t="shared" si="1"/>
        <v>1,165.00</v>
      </c>
      <c r="I23" s="23">
        <v>0.0</v>
      </c>
      <c r="J23" s="58" t="str">
        <f t="shared" si="2"/>
        <v>1,165.00</v>
      </c>
      <c r="K23" s="66">
        <v>16.0</v>
      </c>
      <c r="L23" s="36" t="s">
        <v>79</v>
      </c>
      <c r="M23" s="36" t="s">
        <v>45</v>
      </c>
      <c r="N23" s="26" t="s">
        <v>48</v>
      </c>
    </row>
    <row r="24" ht="16.5" customHeight="1">
      <c r="A24" s="56" t="s">
        <v>287</v>
      </c>
      <c r="B24" s="37" t="s">
        <v>285</v>
      </c>
      <c r="C24" s="37" t="s">
        <v>133</v>
      </c>
      <c r="D24" s="57" t="s">
        <v>139</v>
      </c>
      <c r="E24" s="57" t="s">
        <v>42</v>
      </c>
      <c r="F24" s="18">
        <v>1120.0</v>
      </c>
      <c r="G24" s="18">
        <v>42.0</v>
      </c>
      <c r="H24" s="58" t="str">
        <f t="shared" si="1"/>
        <v>1,162.00</v>
      </c>
      <c r="I24" s="23">
        <v>0.0</v>
      </c>
      <c r="J24" s="58" t="str">
        <f t="shared" si="2"/>
        <v>1,162.00</v>
      </c>
      <c r="K24" s="65">
        <v>14.0</v>
      </c>
      <c r="L24" s="37" t="s">
        <v>79</v>
      </c>
      <c r="M24" s="37" t="s">
        <v>58</v>
      </c>
      <c r="N24" s="26" t="s">
        <v>48</v>
      </c>
    </row>
    <row r="25" ht="16.5" customHeight="1">
      <c r="A25" s="56" t="s">
        <v>288</v>
      </c>
      <c r="B25" s="36" t="s">
        <v>143</v>
      </c>
      <c r="C25" s="36" t="s">
        <v>133</v>
      </c>
      <c r="D25" s="57" t="s">
        <v>144</v>
      </c>
      <c r="E25" s="57" t="s">
        <v>51</v>
      </c>
      <c r="F25" s="18">
        <v>980.0</v>
      </c>
      <c r="G25" s="18">
        <v>35.0</v>
      </c>
      <c r="H25" s="58" t="str">
        <f t="shared" si="1"/>
        <v>1,015.00</v>
      </c>
      <c r="I25" s="23">
        <v>0.0</v>
      </c>
      <c r="J25" s="58" t="str">
        <f t="shared" si="2"/>
        <v>1,015.00</v>
      </c>
      <c r="K25" s="66">
        <v>21.0</v>
      </c>
      <c r="L25" s="36" t="s">
        <v>79</v>
      </c>
      <c r="M25" s="36" t="s">
        <v>45</v>
      </c>
      <c r="N25" s="26" t="s">
        <v>48</v>
      </c>
    </row>
    <row r="26" ht="16.5" customHeight="1">
      <c r="A26" s="56" t="s">
        <v>289</v>
      </c>
      <c r="B26" s="37" t="s">
        <v>143</v>
      </c>
      <c r="C26" s="37" t="s">
        <v>133</v>
      </c>
      <c r="D26" s="57" t="s">
        <v>144</v>
      </c>
      <c r="E26" s="57" t="s">
        <v>155</v>
      </c>
      <c r="F26" s="18">
        <v>980.0</v>
      </c>
      <c r="G26" s="18">
        <v>40.0</v>
      </c>
      <c r="H26" s="58" t="str">
        <f t="shared" si="1"/>
        <v>1,020.00</v>
      </c>
      <c r="I26" s="23">
        <v>0.0</v>
      </c>
      <c r="J26" s="58" t="str">
        <f t="shared" si="2"/>
        <v>1,020.00</v>
      </c>
      <c r="K26" s="65">
        <v>22.0</v>
      </c>
      <c r="L26" s="37" t="s">
        <v>79</v>
      </c>
      <c r="M26" s="37" t="s">
        <v>45</v>
      </c>
      <c r="N26" s="26" t="s">
        <v>48</v>
      </c>
    </row>
    <row r="27" ht="16.5" customHeight="1">
      <c r="A27" s="56" t="s">
        <v>290</v>
      </c>
      <c r="B27" s="36" t="s">
        <v>247</v>
      </c>
      <c r="C27" s="36" t="s">
        <v>133</v>
      </c>
      <c r="D27" s="57" t="s">
        <v>150</v>
      </c>
      <c r="E27" s="57" t="s">
        <v>41</v>
      </c>
      <c r="F27" s="18">
        <v>1200.0</v>
      </c>
      <c r="G27" s="18">
        <v>40.0</v>
      </c>
      <c r="H27" s="58" t="str">
        <f t="shared" si="1"/>
        <v>1,240.00</v>
      </c>
      <c r="I27" s="23">
        <v>0.0</v>
      </c>
      <c r="J27" s="58" t="str">
        <f t="shared" si="2"/>
        <v>1,240.00</v>
      </c>
      <c r="K27" s="66">
        <v>21.0</v>
      </c>
      <c r="L27" s="36" t="s">
        <v>79</v>
      </c>
      <c r="M27" s="36" t="s">
        <v>45</v>
      </c>
      <c r="N27" s="26" t="s">
        <v>48</v>
      </c>
    </row>
    <row r="28" ht="16.5" customHeight="1">
      <c r="A28" s="56" t="s">
        <v>291</v>
      </c>
      <c r="B28" s="37" t="s">
        <v>154</v>
      </c>
      <c r="C28" s="37" t="s">
        <v>133</v>
      </c>
      <c r="D28" s="57" t="s">
        <v>144</v>
      </c>
      <c r="E28" s="57" t="s">
        <v>155</v>
      </c>
      <c r="F28" s="18">
        <v>560.0</v>
      </c>
      <c r="G28" s="18">
        <v>35.0</v>
      </c>
      <c r="H28" s="58" t="str">
        <f t="shared" si="1"/>
        <v>595.00</v>
      </c>
      <c r="I28" s="23">
        <v>0.05</v>
      </c>
      <c r="J28" s="58" t="str">
        <f t="shared" si="2"/>
        <v>624.75</v>
      </c>
      <c r="K28" s="65">
        <v>21.0</v>
      </c>
      <c r="L28" s="37" t="s">
        <v>79</v>
      </c>
      <c r="M28" s="37" t="s">
        <v>100</v>
      </c>
      <c r="N28" s="26" t="s">
        <v>48</v>
      </c>
    </row>
    <row r="29" ht="16.5" customHeight="1">
      <c r="A29" s="56" t="s">
        <v>292</v>
      </c>
      <c r="B29" s="39" t="s">
        <v>159</v>
      </c>
      <c r="C29" s="39" t="s">
        <v>160</v>
      </c>
      <c r="D29" s="57" t="s">
        <v>41</v>
      </c>
      <c r="E29" s="57" t="s">
        <v>161</v>
      </c>
      <c r="F29" s="18">
        <v>580.0</v>
      </c>
      <c r="G29" s="18">
        <v>30.0</v>
      </c>
      <c r="H29" s="58" t="str">
        <f t="shared" si="1"/>
        <v>610.00</v>
      </c>
      <c r="I29" s="23">
        <v>0.07</v>
      </c>
      <c r="J29" s="58" t="str">
        <f t="shared" si="2"/>
        <v>652.70</v>
      </c>
      <c r="K29" s="67">
        <v>7.0</v>
      </c>
      <c r="L29" s="39" t="s">
        <v>87</v>
      </c>
      <c r="M29" s="39" t="s">
        <v>45</v>
      </c>
      <c r="N29" s="26" t="s">
        <v>48</v>
      </c>
    </row>
    <row r="30" ht="16.5" customHeight="1">
      <c r="A30" s="56" t="s">
        <v>293</v>
      </c>
      <c r="B30" s="38" t="s">
        <v>159</v>
      </c>
      <c r="C30" s="38" t="s">
        <v>160</v>
      </c>
      <c r="D30" s="57" t="s">
        <v>41</v>
      </c>
      <c r="E30" s="57" t="s">
        <v>72</v>
      </c>
      <c r="F30" s="18">
        <v>580.0</v>
      </c>
      <c r="G30" s="18">
        <v>28.0</v>
      </c>
      <c r="H30" s="58" t="str">
        <f t="shared" si="1"/>
        <v>608.00</v>
      </c>
      <c r="I30" s="23">
        <v>0.05</v>
      </c>
      <c r="J30" s="58" t="str">
        <f t="shared" si="2"/>
        <v>638.40</v>
      </c>
      <c r="K30" s="68">
        <v>6.0</v>
      </c>
      <c r="L30" s="38" t="s">
        <v>87</v>
      </c>
      <c r="M30" s="38" t="s">
        <v>45</v>
      </c>
      <c r="N30" s="26" t="s">
        <v>48</v>
      </c>
    </row>
    <row r="31" ht="16.5" customHeight="1">
      <c r="A31" s="56" t="s">
        <v>294</v>
      </c>
      <c r="B31" s="39" t="s">
        <v>252</v>
      </c>
      <c r="C31" s="39" t="s">
        <v>160</v>
      </c>
      <c r="D31" s="57" t="s">
        <v>41</v>
      </c>
      <c r="E31" s="57" t="s">
        <v>72</v>
      </c>
      <c r="F31" s="18">
        <v>420.0</v>
      </c>
      <c r="G31" s="18">
        <v>28.0</v>
      </c>
      <c r="H31" s="58" t="str">
        <f t="shared" si="1"/>
        <v>448.00</v>
      </c>
      <c r="I31" s="23">
        <v>0.05</v>
      </c>
      <c r="J31" s="58" t="str">
        <f t="shared" si="2"/>
        <v>470.40</v>
      </c>
      <c r="K31" s="67">
        <v>6.0</v>
      </c>
      <c r="L31" s="39" t="s">
        <v>87</v>
      </c>
      <c r="M31" s="39" t="s">
        <v>45</v>
      </c>
      <c r="N31" s="26" t="s">
        <v>48</v>
      </c>
    </row>
    <row r="32" ht="16.5" customHeight="1">
      <c r="A32" s="56" t="s">
        <v>295</v>
      </c>
      <c r="B32" s="38" t="s">
        <v>168</v>
      </c>
      <c r="C32" s="38" t="s">
        <v>160</v>
      </c>
      <c r="D32" s="57" t="s">
        <v>41</v>
      </c>
      <c r="E32" s="57" t="s">
        <v>42</v>
      </c>
      <c r="F32" s="18">
        <v>450.0</v>
      </c>
      <c r="G32" s="18">
        <v>30.0</v>
      </c>
      <c r="H32" s="58" t="str">
        <f t="shared" si="1"/>
        <v>480.00</v>
      </c>
      <c r="I32" s="23">
        <v>0.0</v>
      </c>
      <c r="J32" s="58" t="str">
        <f t="shared" si="2"/>
        <v>480.00</v>
      </c>
      <c r="K32" s="68">
        <v>7.0</v>
      </c>
      <c r="L32" s="38" t="s">
        <v>43</v>
      </c>
      <c r="M32" s="38" t="s">
        <v>45</v>
      </c>
      <c r="N32" s="26" t="s">
        <v>48</v>
      </c>
    </row>
    <row r="33" ht="16.5" customHeight="1">
      <c r="A33" s="56" t="s">
        <v>296</v>
      </c>
      <c r="B33" s="39" t="s">
        <v>168</v>
      </c>
      <c r="C33" s="39" t="s">
        <v>160</v>
      </c>
      <c r="D33" s="57" t="s">
        <v>41</v>
      </c>
      <c r="E33" s="57" t="s">
        <v>140</v>
      </c>
      <c r="F33" s="18">
        <v>450.0</v>
      </c>
      <c r="G33" s="18">
        <v>38.0</v>
      </c>
      <c r="H33" s="58" t="str">
        <f t="shared" si="1"/>
        <v>488.00</v>
      </c>
      <c r="I33" s="23">
        <v>0.0</v>
      </c>
      <c r="J33" s="58" t="str">
        <f t="shared" si="2"/>
        <v>488.00</v>
      </c>
      <c r="K33" s="67">
        <v>10.0</v>
      </c>
      <c r="L33" s="39" t="s">
        <v>43</v>
      </c>
      <c r="M33" s="39" t="s">
        <v>45</v>
      </c>
      <c r="N33" s="26" t="s">
        <v>48</v>
      </c>
    </row>
    <row r="34" ht="16.5" customHeight="1">
      <c r="A34" s="56" t="s">
        <v>297</v>
      </c>
      <c r="B34" s="38" t="s">
        <v>298</v>
      </c>
      <c r="C34" s="38" t="s">
        <v>160</v>
      </c>
      <c r="D34" s="57" t="s">
        <v>41</v>
      </c>
      <c r="E34" s="57" t="s">
        <v>64</v>
      </c>
      <c r="F34" s="18">
        <v>1280.0</v>
      </c>
      <c r="G34" s="18">
        <v>55.0</v>
      </c>
      <c r="H34" s="58" t="str">
        <f t="shared" si="1"/>
        <v>1,335.00</v>
      </c>
      <c r="I34" s="23">
        <v>0.0</v>
      </c>
      <c r="J34" s="58" t="str">
        <f t="shared" si="2"/>
        <v>1,335.00</v>
      </c>
      <c r="K34" s="68">
        <v>8.0</v>
      </c>
      <c r="L34" s="38" t="s">
        <v>79</v>
      </c>
      <c r="M34" s="38" t="s">
        <v>66</v>
      </c>
      <c r="N34" s="26" t="s">
        <v>48</v>
      </c>
    </row>
    <row r="35" ht="19.5" customHeight="1">
      <c r="A35" s="40" t="s">
        <v>299</v>
      </c>
      <c r="B35" s="2"/>
      <c r="C35" s="2"/>
      <c r="D35" s="2"/>
      <c r="E35" s="3"/>
      <c r="F35" s="41" t="str">
        <f t="shared" ref="F35:H35" si="3">AVERAGE(F5:F34)</f>
        <v>2,119.71</v>
      </c>
      <c r="G35" s="41" t="str">
        <f t="shared" si="3"/>
        <v>39.07</v>
      </c>
      <c r="H35" s="41" t="str">
        <f t="shared" si="3"/>
        <v>2,158.79</v>
      </c>
      <c r="J35" s="41" t="str">
        <f>AVERAGE(J5:J34)</f>
        <v>2,193.62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1:N1"/>
    <mergeCell ref="A2:N2"/>
    <mergeCell ref="A3:E3"/>
    <mergeCell ref="F3:J3"/>
    <mergeCell ref="K3:M3"/>
    <mergeCell ref="A35:E3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3" width="14.0"/>
    <col customWidth="1" min="4" max="4" width="16.0"/>
    <col customWidth="1" min="5" max="5" width="30.0"/>
    <col customWidth="1" min="6" max="11" width="8.71"/>
  </cols>
  <sheetData>
    <row r="1" ht="25.5" customHeight="1">
      <c r="A1" s="69" t="s">
        <v>300</v>
      </c>
      <c r="B1" s="2"/>
      <c r="C1" s="2"/>
      <c r="D1" s="2"/>
      <c r="E1" s="3"/>
    </row>
    <row r="2" ht="19.5" customHeight="1">
      <c r="A2" s="70" t="s">
        <v>301</v>
      </c>
      <c r="B2" s="70" t="s">
        <v>302</v>
      </c>
      <c r="C2" s="70" t="s">
        <v>303</v>
      </c>
      <c r="D2" s="70" t="s">
        <v>304</v>
      </c>
      <c r="E2" s="70" t="s">
        <v>305</v>
      </c>
    </row>
    <row r="3" ht="16.5" customHeight="1">
      <c r="A3" s="71" t="s">
        <v>41</v>
      </c>
      <c r="B3" s="46" t="s">
        <v>88</v>
      </c>
      <c r="C3" s="46" t="s">
        <v>306</v>
      </c>
      <c r="D3" s="72" t="s">
        <v>307</v>
      </c>
      <c r="E3" s="46" t="s">
        <v>308</v>
      </c>
    </row>
    <row r="4" ht="16.5" customHeight="1">
      <c r="A4" s="71" t="s">
        <v>126</v>
      </c>
      <c r="B4" s="52" t="s">
        <v>88</v>
      </c>
      <c r="C4" s="52" t="s">
        <v>309</v>
      </c>
      <c r="D4" s="73" t="s">
        <v>310</v>
      </c>
      <c r="E4" s="52" t="s">
        <v>311</v>
      </c>
    </row>
    <row r="5" ht="16.5" customHeight="1">
      <c r="A5" s="71" t="s">
        <v>312</v>
      </c>
      <c r="B5" s="46" t="s">
        <v>88</v>
      </c>
      <c r="C5" s="46" t="s">
        <v>306</v>
      </c>
      <c r="D5" s="72" t="s">
        <v>310</v>
      </c>
      <c r="E5" s="46" t="s">
        <v>313</v>
      </c>
    </row>
    <row r="6" ht="16.5" customHeight="1">
      <c r="A6" s="71" t="s">
        <v>42</v>
      </c>
      <c r="B6" s="52" t="s">
        <v>314</v>
      </c>
      <c r="C6" s="52" t="s">
        <v>315</v>
      </c>
      <c r="D6" s="73" t="s">
        <v>316</v>
      </c>
      <c r="E6" s="52" t="s">
        <v>317</v>
      </c>
    </row>
    <row r="7" ht="16.5" customHeight="1">
      <c r="A7" s="71" t="s">
        <v>51</v>
      </c>
      <c r="B7" s="46" t="s">
        <v>314</v>
      </c>
      <c r="C7" s="46" t="s">
        <v>318</v>
      </c>
      <c r="D7" s="72" t="s">
        <v>316</v>
      </c>
      <c r="E7" s="46" t="s">
        <v>319</v>
      </c>
    </row>
    <row r="8" ht="16.5" customHeight="1">
      <c r="A8" s="71" t="s">
        <v>161</v>
      </c>
      <c r="B8" s="52" t="s">
        <v>314</v>
      </c>
      <c r="C8" s="52" t="s">
        <v>320</v>
      </c>
      <c r="D8" s="73" t="s">
        <v>321</v>
      </c>
      <c r="E8" s="52" t="s">
        <v>322</v>
      </c>
    </row>
    <row r="9" ht="16.5" customHeight="1">
      <c r="A9" s="71" t="s">
        <v>72</v>
      </c>
      <c r="B9" s="46" t="s">
        <v>323</v>
      </c>
      <c r="C9" s="46" t="s">
        <v>320</v>
      </c>
      <c r="D9" s="72" t="s">
        <v>324</v>
      </c>
      <c r="E9" s="46" t="s">
        <v>325</v>
      </c>
    </row>
    <row r="10" ht="16.5" customHeight="1">
      <c r="A10" s="71" t="s">
        <v>64</v>
      </c>
      <c r="B10" s="52" t="s">
        <v>326</v>
      </c>
      <c r="C10" s="52" t="s">
        <v>315</v>
      </c>
      <c r="D10" s="73" t="s">
        <v>324</v>
      </c>
      <c r="E10" s="52" t="s">
        <v>327</v>
      </c>
    </row>
    <row r="11" ht="16.5" customHeight="1">
      <c r="A11" s="71" t="s">
        <v>328</v>
      </c>
      <c r="B11" s="46" t="s">
        <v>326</v>
      </c>
      <c r="C11" s="46" t="s">
        <v>315</v>
      </c>
      <c r="D11" s="72" t="s">
        <v>324</v>
      </c>
      <c r="E11" s="46" t="s">
        <v>329</v>
      </c>
    </row>
    <row r="12" ht="16.5" customHeight="1">
      <c r="A12" s="71" t="s">
        <v>155</v>
      </c>
      <c r="B12" s="52" t="s">
        <v>330</v>
      </c>
      <c r="C12" s="52" t="s">
        <v>320</v>
      </c>
      <c r="D12" s="73" t="s">
        <v>331</v>
      </c>
      <c r="E12" s="52" t="s">
        <v>332</v>
      </c>
    </row>
    <row r="13" ht="16.5" customHeight="1">
      <c r="A13" s="71" t="s">
        <v>333</v>
      </c>
      <c r="B13" s="46" t="s">
        <v>330</v>
      </c>
      <c r="C13" s="46" t="s">
        <v>306</v>
      </c>
      <c r="D13" s="72" t="s">
        <v>331</v>
      </c>
      <c r="E13" s="46" t="s">
        <v>334</v>
      </c>
    </row>
    <row r="14" ht="16.5" customHeight="1">
      <c r="A14" s="71" t="s">
        <v>121</v>
      </c>
      <c r="B14" s="52" t="s">
        <v>335</v>
      </c>
      <c r="C14" s="52" t="s">
        <v>336</v>
      </c>
      <c r="D14" s="73" t="s">
        <v>331</v>
      </c>
      <c r="E14" s="52" t="s">
        <v>337</v>
      </c>
    </row>
    <row r="15" ht="16.5" customHeight="1">
      <c r="A15" s="71" t="s">
        <v>140</v>
      </c>
      <c r="B15" s="46" t="s">
        <v>338</v>
      </c>
      <c r="C15" s="46" t="s">
        <v>339</v>
      </c>
      <c r="D15" s="72" t="s">
        <v>340</v>
      </c>
      <c r="E15" s="46" t="s">
        <v>341</v>
      </c>
    </row>
    <row r="16" ht="16.5" customHeight="1">
      <c r="A16" s="71" t="s">
        <v>56</v>
      </c>
      <c r="B16" s="52" t="s">
        <v>57</v>
      </c>
      <c r="C16" s="52" t="s">
        <v>342</v>
      </c>
      <c r="D16" s="73" t="s">
        <v>343</v>
      </c>
      <c r="E16" s="52" t="s">
        <v>344</v>
      </c>
    </row>
    <row r="17" ht="16.5" customHeight="1">
      <c r="A17" s="71" t="s">
        <v>78</v>
      </c>
      <c r="B17" s="46" t="s">
        <v>345</v>
      </c>
      <c r="C17" s="46" t="s">
        <v>342</v>
      </c>
      <c r="D17" s="72" t="s">
        <v>343</v>
      </c>
      <c r="E17" s="46" t="s">
        <v>346</v>
      </c>
    </row>
    <row r="18" ht="16.5" customHeight="1">
      <c r="A18" s="71" t="s">
        <v>98</v>
      </c>
      <c r="B18" s="52" t="s">
        <v>347</v>
      </c>
      <c r="C18" s="52" t="s">
        <v>315</v>
      </c>
      <c r="D18" s="73" t="s">
        <v>348</v>
      </c>
      <c r="E18" s="52" t="s">
        <v>349</v>
      </c>
    </row>
    <row r="19" ht="16.5" customHeight="1">
      <c r="A19" s="71" t="s">
        <v>110</v>
      </c>
      <c r="B19" s="46" t="s">
        <v>111</v>
      </c>
      <c r="C19" s="46" t="s">
        <v>350</v>
      </c>
      <c r="D19" s="72" t="s">
        <v>351</v>
      </c>
      <c r="E19" s="46" t="s">
        <v>352</v>
      </c>
    </row>
    <row r="20" ht="16.5" customHeight="1">
      <c r="A20" s="71" t="s">
        <v>134</v>
      </c>
      <c r="B20" s="52" t="s">
        <v>135</v>
      </c>
      <c r="C20" s="52" t="s">
        <v>350</v>
      </c>
      <c r="D20" s="73" t="s">
        <v>343</v>
      </c>
      <c r="E20" s="52" t="s">
        <v>353</v>
      </c>
    </row>
    <row r="21" ht="16.5" customHeight="1">
      <c r="A21" s="71" t="s">
        <v>139</v>
      </c>
      <c r="B21" s="46" t="s">
        <v>141</v>
      </c>
      <c r="C21" s="46" t="s">
        <v>354</v>
      </c>
      <c r="D21" s="72" t="s">
        <v>343</v>
      </c>
      <c r="E21" s="46" t="s">
        <v>355</v>
      </c>
    </row>
    <row r="22" ht="16.5" customHeight="1">
      <c r="A22" s="71" t="s">
        <v>144</v>
      </c>
      <c r="B22" s="52" t="s">
        <v>145</v>
      </c>
      <c r="C22" s="52" t="s">
        <v>339</v>
      </c>
      <c r="D22" s="73" t="s">
        <v>356</v>
      </c>
      <c r="E22" s="52" t="s">
        <v>357</v>
      </c>
    </row>
    <row r="23" ht="16.5" customHeight="1">
      <c r="A23" s="71" t="s">
        <v>150</v>
      </c>
      <c r="B23" s="46" t="s">
        <v>145</v>
      </c>
      <c r="C23" s="46" t="s">
        <v>339</v>
      </c>
      <c r="D23" s="72" t="s">
        <v>356</v>
      </c>
      <c r="E23" s="46" t="s">
        <v>358</v>
      </c>
    </row>
    <row r="24" ht="16.5" customHeight="1">
      <c r="A24" s="71" t="s">
        <v>127</v>
      </c>
      <c r="B24" s="52" t="s">
        <v>127</v>
      </c>
      <c r="C24" s="52" t="s">
        <v>320</v>
      </c>
      <c r="D24" s="73" t="s">
        <v>321</v>
      </c>
      <c r="E24" s="52" t="s">
        <v>359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4.0"/>
    <col customWidth="1" min="4" max="4" width="20.0"/>
    <col customWidth="1" min="5" max="5" width="11.0"/>
    <col customWidth="1" min="6" max="6" width="22.0"/>
    <col customWidth="1" min="7" max="9" width="13.0"/>
    <col customWidth="1" min="10" max="10" width="10.0"/>
    <col customWidth="1" min="11" max="11" width="8.71"/>
  </cols>
  <sheetData>
    <row r="1" ht="25.5" customHeight="1">
      <c r="A1" s="69" t="s">
        <v>360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4" t="s">
        <v>361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74" t="s">
        <v>362</v>
      </c>
      <c r="B3" s="74" t="s">
        <v>363</v>
      </c>
      <c r="C3" s="74" t="s">
        <v>302</v>
      </c>
      <c r="D3" s="74" t="s">
        <v>364</v>
      </c>
      <c r="E3" s="74" t="s">
        <v>365</v>
      </c>
      <c r="F3" s="74" t="s">
        <v>366</v>
      </c>
      <c r="G3" s="74" t="s">
        <v>367</v>
      </c>
      <c r="H3" s="74" t="s">
        <v>368</v>
      </c>
      <c r="I3" s="74" t="s">
        <v>369</v>
      </c>
      <c r="J3" s="74" t="s">
        <v>370</v>
      </c>
    </row>
    <row r="4" ht="18.0" customHeight="1">
      <c r="A4" s="52" t="s">
        <v>371</v>
      </c>
      <c r="B4" s="52" t="s">
        <v>372</v>
      </c>
      <c r="C4" s="52" t="s">
        <v>88</v>
      </c>
      <c r="D4" s="52" t="s">
        <v>373</v>
      </c>
      <c r="E4" s="23">
        <v>0.05</v>
      </c>
      <c r="F4" s="52" t="s">
        <v>374</v>
      </c>
      <c r="G4" s="58" t="str">
        <f t="shared" ref="G4:G8" si="1">2840*(1-E4)</f>
        <v>2,698.00</v>
      </c>
      <c r="H4" s="58" t="str">
        <f t="shared" ref="H4:H8" si="2">1120*(1-E4)</f>
        <v>1,064.00</v>
      </c>
      <c r="I4" s="58" t="str">
        <f t="shared" ref="I4:I8" si="3">580*(1-E4)</f>
        <v>551.00</v>
      </c>
      <c r="J4" s="26" t="s">
        <v>35</v>
      </c>
    </row>
    <row r="5" ht="18.0" customHeight="1">
      <c r="A5" s="46" t="s">
        <v>375</v>
      </c>
      <c r="B5" s="46" t="s">
        <v>376</v>
      </c>
      <c r="C5" s="46" t="s">
        <v>57</v>
      </c>
      <c r="D5" s="46" t="s">
        <v>377</v>
      </c>
      <c r="E5" s="23">
        <v>0.04</v>
      </c>
      <c r="F5" s="46" t="s">
        <v>378</v>
      </c>
      <c r="G5" s="58" t="str">
        <f t="shared" si="1"/>
        <v>2,726.40</v>
      </c>
      <c r="H5" s="58" t="str">
        <f t="shared" si="2"/>
        <v>1,075.20</v>
      </c>
      <c r="I5" s="58" t="str">
        <f t="shared" si="3"/>
        <v>556.80</v>
      </c>
      <c r="J5" s="26" t="s">
        <v>35</v>
      </c>
    </row>
    <row r="6" ht="18.0" customHeight="1">
      <c r="A6" s="52" t="s">
        <v>379</v>
      </c>
      <c r="B6" s="52" t="s">
        <v>380</v>
      </c>
      <c r="C6" s="52" t="s">
        <v>314</v>
      </c>
      <c r="D6" s="52" t="s">
        <v>381</v>
      </c>
      <c r="E6" s="23">
        <v>0.06</v>
      </c>
      <c r="F6" s="52" t="s">
        <v>382</v>
      </c>
      <c r="G6" s="58" t="str">
        <f t="shared" si="1"/>
        <v>2,669.60</v>
      </c>
      <c r="H6" s="58" t="str">
        <f t="shared" si="2"/>
        <v>1,052.80</v>
      </c>
      <c r="I6" s="58" t="str">
        <f t="shared" si="3"/>
        <v>545.20</v>
      </c>
      <c r="J6" s="26" t="s">
        <v>35</v>
      </c>
    </row>
    <row r="7" ht="18.0" customHeight="1">
      <c r="A7" s="46" t="s">
        <v>383</v>
      </c>
      <c r="B7" s="46" t="s">
        <v>384</v>
      </c>
      <c r="C7" s="46" t="s">
        <v>330</v>
      </c>
      <c r="D7" s="46" t="s">
        <v>385</v>
      </c>
      <c r="E7" s="23">
        <v>0.05</v>
      </c>
      <c r="F7" s="46" t="s">
        <v>386</v>
      </c>
      <c r="G7" s="58" t="str">
        <f t="shared" si="1"/>
        <v>2,698.00</v>
      </c>
      <c r="H7" s="58" t="str">
        <f t="shared" si="2"/>
        <v>1,064.00</v>
      </c>
      <c r="I7" s="58" t="str">
        <f t="shared" si="3"/>
        <v>551.00</v>
      </c>
      <c r="J7" s="26" t="s">
        <v>35</v>
      </c>
    </row>
    <row r="8" ht="18.0" customHeight="1">
      <c r="A8" s="52" t="s">
        <v>387</v>
      </c>
      <c r="B8" s="52" t="s">
        <v>388</v>
      </c>
      <c r="C8" s="52" t="s">
        <v>323</v>
      </c>
      <c r="D8" s="52" t="s">
        <v>389</v>
      </c>
      <c r="E8" s="23">
        <v>0.04</v>
      </c>
      <c r="F8" s="52" t="s">
        <v>390</v>
      </c>
      <c r="G8" s="58" t="str">
        <f t="shared" si="1"/>
        <v>2,726.40</v>
      </c>
      <c r="H8" s="58" t="str">
        <f t="shared" si="2"/>
        <v>1,075.20</v>
      </c>
      <c r="I8" s="58" t="str">
        <f t="shared" si="3"/>
        <v>556.80</v>
      </c>
      <c r="J8" s="2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2.0"/>
    <col customWidth="1" min="4" max="4" width="16.0"/>
    <col customWidth="1" min="5" max="11" width="8.71"/>
  </cols>
  <sheetData>
    <row r="1" ht="25.5" customHeight="1">
      <c r="A1" s="69" t="s">
        <v>391</v>
      </c>
      <c r="B1" s="2"/>
      <c r="C1" s="2"/>
      <c r="D1" s="3"/>
    </row>
    <row r="3" ht="18.0" customHeight="1">
      <c r="A3" s="75" t="s">
        <v>392</v>
      </c>
      <c r="B3" s="76"/>
      <c r="C3" s="75" t="s">
        <v>393</v>
      </c>
      <c r="D3" s="76"/>
    </row>
    <row r="4" ht="31.5" customHeight="1">
      <c r="A4" s="77" t="str">
        <f>COUNTA('📦 Product Catalog'!C5:C29)</f>
        <v>25</v>
      </c>
      <c r="B4" s="76"/>
      <c r="C4" s="77" t="str">
        <f>COUNTIF('📦 Product Catalog'!AB5:AB29,"Yes")</f>
        <v>25</v>
      </c>
      <c r="D4" s="76"/>
    </row>
    <row r="5" ht="18.0" customHeight="1">
      <c r="A5" s="75" t="s">
        <v>394</v>
      </c>
      <c r="B5" s="76"/>
      <c r="C5" s="75" t="s">
        <v>395</v>
      </c>
      <c r="D5" s="76"/>
    </row>
    <row r="6" ht="31.5" customHeight="1">
      <c r="A6" s="78" t="str">
        <f>AVERAGE('📦 Product Catalog'!G5:G29)</f>
        <v>1,682.11</v>
      </c>
      <c r="B6" s="76"/>
      <c r="C6" s="79" t="str">
        <f>AVERAGE('📦 Product Catalog'!K5:K29)</f>
        <v>18.2%</v>
      </c>
      <c r="D6" s="76"/>
    </row>
    <row r="7" ht="18.0" customHeight="1">
      <c r="A7" s="75" t="s">
        <v>396</v>
      </c>
      <c r="B7" s="76"/>
      <c r="C7" s="75" t="s">
        <v>397</v>
      </c>
      <c r="D7" s="76"/>
    </row>
    <row r="8" ht="31.5" customHeight="1">
      <c r="A8" s="78" t="str">
        <f>AVERAGE('📦 Product Catalog'!I5:I29)</f>
        <v>33.09</v>
      </c>
      <c r="B8" s="76"/>
      <c r="C8" s="80" t="str">
        <f>AVERAGE('📦 Product Catalog'!R5:R29)</f>
        <v>2%</v>
      </c>
      <c r="D8" s="76"/>
    </row>
    <row r="9" ht="18.0" customHeight="1">
      <c r="A9" s="75" t="s">
        <v>398</v>
      </c>
      <c r="B9" s="76"/>
      <c r="C9" s="75" t="s">
        <v>399</v>
      </c>
      <c r="D9" s="76"/>
    </row>
    <row r="10" ht="31.5" customHeight="1">
      <c r="A10" s="81" t="str">
        <f>COUNTIF('📦 Product Catalog'!W5:W29,"&lt;=7")</f>
        <v>4</v>
      </c>
      <c r="B10" s="76"/>
      <c r="C10" s="77" t="str">
        <f>COUNTA('🌍 Broker Floors'!A4:A8)</f>
        <v>5</v>
      </c>
      <c r="D10" s="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7">
    <mergeCell ref="A1:D1"/>
    <mergeCell ref="A3:B3"/>
    <mergeCell ref="C3:D3"/>
    <mergeCell ref="A4:B4"/>
    <mergeCell ref="C4:D4"/>
    <mergeCell ref="A5:B5"/>
    <mergeCell ref="C5:D5"/>
    <mergeCell ref="A9:B9"/>
    <mergeCell ref="A10:B10"/>
    <mergeCell ref="A6:B6"/>
    <mergeCell ref="C6:D6"/>
    <mergeCell ref="A7:B7"/>
    <mergeCell ref="C7:D7"/>
    <mergeCell ref="A8:B8"/>
    <mergeCell ref="C8:D8"/>
    <mergeCell ref="C9:D9"/>
    <mergeCell ref="C10:D1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55.0"/>
    <col customWidth="1" min="3" max="11" width="8.71"/>
  </cols>
  <sheetData>
    <row r="1" ht="25.5" customHeight="1">
      <c r="A1" s="69" t="s">
        <v>400</v>
      </c>
      <c r="B1" s="3"/>
    </row>
    <row r="2" ht="15.75" customHeight="1">
      <c r="A2" s="70" t="s">
        <v>401</v>
      </c>
      <c r="B2" s="70" t="s">
        <v>402</v>
      </c>
    </row>
    <row r="3" ht="15.75" customHeight="1">
      <c r="A3" s="82" t="s">
        <v>8</v>
      </c>
      <c r="B3" s="82" t="s">
        <v>403</v>
      </c>
    </row>
    <row r="4" ht="15.75" customHeight="1">
      <c r="A4" s="82" t="s">
        <v>9</v>
      </c>
      <c r="B4" s="82" t="s">
        <v>404</v>
      </c>
    </row>
    <row r="5" ht="15.75" customHeight="1">
      <c r="A5" s="82" t="s">
        <v>405</v>
      </c>
      <c r="B5" s="82" t="s">
        <v>406</v>
      </c>
    </row>
    <row r="6" ht="15.75" customHeight="1">
      <c r="A6" s="82" t="s">
        <v>407</v>
      </c>
      <c r="B6" s="82" t="s">
        <v>408</v>
      </c>
    </row>
    <row r="7" ht="15.75" customHeight="1">
      <c r="A7" s="82" t="s">
        <v>409</v>
      </c>
      <c r="B7" s="82" t="s">
        <v>410</v>
      </c>
    </row>
    <row r="8" ht="15.75" customHeight="1">
      <c r="A8" s="82" t="s">
        <v>411</v>
      </c>
      <c r="B8" s="82" t="s">
        <v>412</v>
      </c>
    </row>
    <row r="9" ht="15.75" customHeight="1">
      <c r="A9" s="82" t="s">
        <v>413</v>
      </c>
      <c r="B9" s="82" t="s">
        <v>414</v>
      </c>
    </row>
    <row r="10" ht="15.75" customHeight="1">
      <c r="A10" s="82" t="s">
        <v>415</v>
      </c>
      <c r="B10" s="82" t="s">
        <v>416</v>
      </c>
    </row>
    <row r="11" ht="15.75" customHeight="1">
      <c r="A11" s="82" t="s">
        <v>417</v>
      </c>
      <c r="B11" s="82" t="s">
        <v>418</v>
      </c>
    </row>
    <row r="12" ht="15.75" customHeight="1">
      <c r="A12" s="82" t="s">
        <v>419</v>
      </c>
      <c r="B12" s="82" t="s">
        <v>420</v>
      </c>
    </row>
    <row r="13" ht="15.75" customHeight="1">
      <c r="A13" s="82" t="s">
        <v>421</v>
      </c>
      <c r="B13" s="82" t="s">
        <v>422</v>
      </c>
    </row>
    <row r="14" ht="15.75" customHeight="1">
      <c r="A14" s="82" t="s">
        <v>423</v>
      </c>
      <c r="B14" s="82" t="s">
        <v>424</v>
      </c>
    </row>
    <row r="15" ht="15.75" customHeight="1">
      <c r="A15" s="82" t="s">
        <v>425</v>
      </c>
      <c r="B15" s="82" t="s">
        <v>426</v>
      </c>
    </row>
    <row r="16" ht="15.75" customHeight="1">
      <c r="A16" s="82" t="s">
        <v>427</v>
      </c>
      <c r="B16" s="82" t="s">
        <v>428</v>
      </c>
    </row>
    <row r="17" ht="15.75" customHeight="1">
      <c r="A17" s="82" t="s">
        <v>429</v>
      </c>
      <c r="B17" s="82" t="s">
        <v>430</v>
      </c>
    </row>
    <row r="18" ht="15.75" customHeight="1">
      <c r="A18" s="82" t="s">
        <v>431</v>
      </c>
      <c r="B18" s="82" t="s">
        <v>432</v>
      </c>
    </row>
    <row r="19" ht="15.75" customHeight="1">
      <c r="A19" s="82" t="s">
        <v>34</v>
      </c>
      <c r="B19" s="82" t="s">
        <v>433</v>
      </c>
    </row>
    <row r="20" ht="15.75" customHeight="1">
      <c r="A20" s="82"/>
      <c r="B20" s="82"/>
    </row>
    <row r="21" ht="15.75" customHeight="1">
      <c r="A21" s="82" t="s">
        <v>434</v>
      </c>
      <c r="B21" s="82" t="s">
        <v>435</v>
      </c>
    </row>
    <row r="22" ht="15.75" customHeight="1">
      <c r="A22" s="82" t="s">
        <v>436</v>
      </c>
      <c r="B22" s="82" t="s">
        <v>437</v>
      </c>
    </row>
    <row r="23" ht="15.75" customHeight="1">
      <c r="A23" s="82" t="s">
        <v>438</v>
      </c>
      <c r="B23" s="82" t="s">
        <v>439</v>
      </c>
    </row>
    <row r="24" ht="15.75" customHeight="1">
      <c r="A24" s="82" t="s">
        <v>440</v>
      </c>
      <c r="B24" s="82" t="s">
        <v>441</v>
      </c>
    </row>
    <row r="25" ht="15.75" customHeight="1">
      <c r="A25" s="82" t="s">
        <v>442</v>
      </c>
      <c r="B25" s="82" t="s">
        <v>443</v>
      </c>
    </row>
    <row r="26" ht="15.75" customHeight="1">
      <c r="A26" s="82" t="s">
        <v>444</v>
      </c>
      <c r="B26" s="82" t="s">
        <v>445</v>
      </c>
    </row>
    <row r="27" ht="15.75" customHeight="1">
      <c r="A27" s="82" t="s">
        <v>446</v>
      </c>
      <c r="B27" s="82" t="s">
        <v>447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2026-05-12T11:14:09Z</dcterms:created>
  <dc:creator>openpyxl</dc:creator>
  <dc:description/>
  <dc:language>en-US</dc:language>
  <cp:lastModifiedBy/>
  <dcterms:modified xsi:type="dcterms:W3CDTF">2026-05-12T17:02:00Z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