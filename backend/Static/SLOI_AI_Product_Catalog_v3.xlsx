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Product Catalog" sheetId="1" state="visible" r:id="rId1"/>
    <sheet xmlns:r="http://schemas.openxmlformats.org/officeDocument/2006/relationships" name="⚡ Negotiation Params" sheetId="2" state="visible" r:id="rId2"/>
    <sheet xmlns:r="http://schemas.openxmlformats.org/officeDocument/2006/relationships" name="🚢 Trade Routes" sheetId="3" state="visible" r:id="rId3"/>
    <sheet xmlns:r="http://schemas.openxmlformats.org/officeDocument/2006/relationships" name="🤖 Agent Knowle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%&quot;"/>
    <numFmt numFmtId="166" formatCode="DD-MMM-YYYY"/>
    <numFmt numFmtId="167" formatCode="&quot;$&quot;#,##0"/>
  </numFmts>
  <fonts count="4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4A4A80"/>
      <sz val="9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color rgb="005C6080"/>
      <sz val="9"/>
    </font>
    <font>
      <name val="Calibri"/>
      <b val="1"/>
      <color rgb="003B3BA8"/>
      <sz val="9"/>
    </font>
    <font>
      <name val="Calibri"/>
      <b val="1"/>
      <color rgb="000F0F2A"/>
      <sz val="9"/>
    </font>
    <font>
      <name val="Calibri"/>
      <color rgb="000000FF"/>
      <sz val="9"/>
    </font>
    <font>
      <name val="Calibri"/>
      <b val="1"/>
      <color rgb="000000FF"/>
      <sz val="9"/>
    </font>
    <font>
      <name val="Calibri"/>
      <b val="1"/>
      <color rgb="00006400"/>
      <sz val="9"/>
    </font>
    <font>
      <name val="Calibri"/>
      <b val="1"/>
      <color rgb="00A0251A"/>
      <sz val="9"/>
    </font>
    <font>
      <name val="Calibri"/>
      <color rgb="000F0F2A"/>
      <sz val="9"/>
    </font>
    <font>
      <name val="Calibri"/>
      <color rgb="000D6B6B"/>
      <sz val="9"/>
    </font>
    <font>
      <name val="Calibri"/>
      <color rgb="00006400"/>
      <sz val="9"/>
    </font>
    <font>
      <name val="Calibri"/>
      <b val="1"/>
      <color rgb="00C47A1B"/>
      <sz val="9"/>
    </font>
    <font>
      <name val="Calibri"/>
      <b val="1"/>
      <color rgb="001A6B35"/>
      <sz val="9"/>
    </font>
    <font>
      <name val="Calibri"/>
      <b val="1"/>
      <color rgb="000D6B6B"/>
      <sz val="9"/>
    </font>
    <font>
      <name val="Calibri"/>
      <color rgb="00C47A1B"/>
      <sz val="9"/>
    </font>
    <font>
      <name val="Calibri"/>
      <color rgb="001A6B35"/>
      <sz val="9"/>
    </font>
    <font>
      <name val="Calibri"/>
      <b val="1"/>
      <color rgb="005B5FEF"/>
      <sz val="9"/>
    </font>
    <font>
      <name val="Consolas"/>
      <charset val="1"/>
      <family val="0"/>
      <b val="1"/>
      <color rgb="FFF0EFF8"/>
      <sz val="16"/>
    </font>
    <font>
      <name val="Calibri"/>
      <charset val="1"/>
      <family val="2"/>
      <color theme="1"/>
      <sz val="11"/>
    </font>
    <font>
      <name val="Consolas"/>
      <charset val="1"/>
      <family val="0"/>
      <i val="1"/>
      <color rgb="FF52526E"/>
      <sz val="8"/>
    </font>
    <font>
      <name val="Consolas"/>
      <charset val="1"/>
      <family val="0"/>
      <b val="1"/>
      <color rgb="FFF8FAFC"/>
      <sz val="12"/>
    </font>
    <font>
      <name val="Consolas"/>
      <charset val="1"/>
      <family val="0"/>
      <i val="1"/>
      <color rgb="FF94A3B8"/>
      <sz val="8"/>
    </font>
    <font>
      <name val="Consolas"/>
      <charset val="1"/>
      <family val="0"/>
      <b val="1"/>
      <color rgb="FF94A3B8"/>
      <sz val="8"/>
    </font>
    <font>
      <name val="Consolas"/>
      <charset val="1"/>
      <family val="0"/>
      <b val="1"/>
      <color rgb="FF1E293B"/>
      <sz val="10"/>
    </font>
    <font>
      <name val="Consolas"/>
      <charset val="1"/>
      <family val="0"/>
      <color rgb="FF1E293B"/>
      <sz val="10"/>
    </font>
    <font>
      <name val="Consolas"/>
      <charset val="1"/>
      <family val="0"/>
      <color rgb="FF2DD4BF"/>
      <sz val="9"/>
    </font>
    <font>
      <name val="Consolas"/>
      <charset val="1"/>
      <family val="0"/>
      <b val="1"/>
      <color rgb="FF1D4ED8"/>
      <sz val="9"/>
    </font>
    <font>
      <name val="Consolas"/>
      <charset val="1"/>
      <family val="0"/>
      <b val="1"/>
      <color rgb="FF2DD4BF"/>
      <sz val="9"/>
    </font>
    <font>
      <name val="Consolas"/>
      <charset val="1"/>
      <family val="0"/>
      <b val="1"/>
      <color rgb="FF166534"/>
      <sz val="9"/>
    </font>
    <font>
      <name val="Consolas"/>
      <charset val="1"/>
      <family val="0"/>
      <b val="1"/>
      <color rgb="FFDC2626"/>
      <sz val="9"/>
    </font>
    <font>
      <name val="Consolas"/>
      <charset val="1"/>
      <family val="0"/>
      <b val="1"/>
      <color rgb="FF5B5FEF"/>
      <sz val="9"/>
    </font>
    <font>
      <name val="Consolas"/>
      <charset val="1"/>
      <family val="0"/>
      <b val="1"/>
      <color rgb="FFE8A94A"/>
      <sz val="9"/>
    </font>
    <font>
      <name val="Consolas"/>
      <charset val="1"/>
      <family val="0"/>
      <b val="1"/>
      <color rgb="FF22C55E"/>
      <sz val="9"/>
    </font>
    <font>
      <name val="Consolas"/>
      <charset val="1"/>
      <family val="0"/>
      <b val="1"/>
      <color rgb="FFEF4444"/>
      <sz val="9"/>
    </font>
    <font>
      <name val="Consolas"/>
      <charset val="1"/>
      <family val="0"/>
      <b val="1"/>
      <color rgb="FF94A3B8"/>
      <sz val="9"/>
    </font>
    <font>
      <name val="Consolas"/>
      <charset val="1"/>
      <family val="0"/>
      <b val="1"/>
      <color rgb="FF52526E"/>
      <sz val="9"/>
    </font>
    <font>
      <name val="Consolas"/>
      <charset val="1"/>
      <family val="0"/>
      <color rgb="FFFCA5A5"/>
      <sz val="9"/>
    </font>
    <font>
      <name val="Consolas"/>
      <charset val="1"/>
      <family val="0"/>
      <color rgb="FFF87171"/>
      <sz val="9"/>
    </font>
    <font>
      <name val="Consolas"/>
      <charset val="1"/>
      <family val="0"/>
      <b val="1"/>
      <color rgb="FF52526E"/>
      <sz val="10"/>
    </font>
    <font>
      <name val="Consolas"/>
      <charset val="1"/>
      <family val="0"/>
      <b val="1"/>
      <color rgb="FF22C55E"/>
      <sz val="10"/>
    </font>
    <font>
      <name val="Consolas"/>
      <charset val="1"/>
      <family val="0"/>
      <b val="1"/>
      <color rgb="FFCD7F32"/>
      <sz val="10"/>
    </font>
    <font>
      <name val="Consolas"/>
      <charset val="1"/>
      <family val="0"/>
      <b val="1"/>
      <color rgb="FF94A3B8"/>
      <sz val="10"/>
    </font>
    <font>
      <name val="Consolas"/>
      <charset val="1"/>
      <family val="0"/>
      <b val="1"/>
      <color rgb="FFE8A94A"/>
      <sz val="10"/>
    </font>
    <font>
      <name val="Consolas"/>
      <charset val="1"/>
      <family val="0"/>
      <b val="1"/>
      <color rgb="FF2DD4BF"/>
      <sz val="10"/>
    </font>
    <font>
      <name val="Consolas"/>
      <charset val="1"/>
      <family val="0"/>
      <b val="1"/>
      <color rgb="FF5B5FEF"/>
      <sz val="10"/>
    </font>
  </fonts>
  <fills count="37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EEEEF8"/>
      </patternFill>
    </fill>
    <fill>
      <patternFill patternType="solid">
        <fgColor rgb="001A3A6B"/>
      </patternFill>
    </fill>
    <fill>
      <patternFill patternType="solid">
        <fgColor rgb="001A4A3A"/>
      </patternFill>
    </fill>
    <fill>
      <patternFill patternType="solid">
        <fgColor rgb="004A2A00"/>
      </patternFill>
    </fill>
    <fill>
      <patternFill patternType="solid">
        <fgColor rgb="003A1A4A"/>
      </patternFill>
    </fill>
    <fill>
      <patternFill patternType="solid">
        <fgColor rgb="001A1A4A"/>
      </patternFill>
    </fill>
    <fill>
      <patternFill patternType="solid">
        <fgColor rgb="003B3BA8"/>
      </patternFill>
    </fill>
    <fill>
      <patternFill patternType="solid">
        <fgColor rgb="00FFFFFF"/>
      </patternFill>
    </fill>
    <fill>
      <patternFill patternType="solid">
        <fgColor rgb="00E8EDF8"/>
      </patternFill>
    </fill>
    <fill>
      <patternFill patternType="solid">
        <fgColor rgb="00E6F4EC"/>
      </patternFill>
    </fill>
    <fill>
      <patternFill patternType="solid">
        <fgColor rgb="00FDE8E6"/>
      </patternFill>
    </fill>
    <fill>
      <patternFill patternType="solid">
        <fgColor rgb="00FFF4DC"/>
      </patternFill>
    </fill>
    <fill>
      <patternFill patternType="solid">
        <fgColor rgb="00F7F8FC"/>
      </patternFill>
    </fill>
    <fill>
      <patternFill patternType="solid">
        <fgColor rgb="00FFF3E0"/>
      </patternFill>
    </fill>
    <fill>
      <patternFill patternType="solid">
        <fgColor rgb="00FBE8FF"/>
      </patternFill>
    </fill>
    <fill>
      <patternFill patternType="solid">
        <fgColor rgb="00FFF8E1"/>
      </patternFill>
    </fill>
    <fill>
      <patternFill patternType="solid">
        <fgColor rgb="00F0EEF8"/>
      </patternFill>
    </fill>
    <fill>
      <patternFill patternType="solid">
        <fgColor rgb="00E0F4F4"/>
      </patternFill>
    </fill>
    <fill>
      <patternFill patternType="solid">
        <fgColor rgb="00E8F4FF"/>
      </patternFill>
    </fill>
    <fill>
      <patternFill patternType="solid">
        <fgColor rgb="FF0F172A"/>
        <bgColor rgb="FF0A0F1A"/>
      </patternFill>
    </fill>
    <fill>
      <patternFill patternType="solid">
        <fgColor rgb="FF0A0F1A"/>
        <bgColor rgb="FF0F172A"/>
      </patternFill>
    </fill>
    <fill>
      <patternFill patternType="solid">
        <fgColor rgb="FF1A3A2A"/>
        <bgColor rgb="FF1A2A3A"/>
      </patternFill>
    </fill>
    <fill>
      <patternFill patternType="solid">
        <fgColor rgb="FF1E293B"/>
        <bgColor rgb="FF1A2A3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E3A5F"/>
        <bgColor rgb="FF0C3A5C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0FFF4"/>
      </patternFill>
    </fill>
    <fill>
      <patternFill patternType="solid">
        <fgColor rgb="FFFEF2F2"/>
        <bgColor rgb="FFFFF7ED"/>
      </patternFill>
    </fill>
    <fill>
      <patternFill patternType="solid">
        <fgColor rgb="FF0C3A5C"/>
        <bgColor rgb="FF1E3A5F"/>
      </patternFill>
    </fill>
    <fill>
      <patternFill patternType="solid">
        <fgColor rgb="FF2D1B4E"/>
        <bgColor rgb="FF1E293B"/>
      </patternFill>
    </fill>
    <fill>
      <patternFill patternType="solid">
        <fgColor rgb="FF3A1A1A"/>
        <bgColor rgb="FF3A0A0A"/>
      </patternFill>
    </fill>
    <fill>
      <patternFill patternType="solid">
        <fgColor rgb="FF1A0808"/>
        <bgColor rgb="FF120808"/>
      </patternFill>
    </fill>
    <fill>
      <patternFill patternType="solid">
        <fgColor rgb="FF120808"/>
        <bgColor rgb="FF1A0808"/>
      </patternFill>
    </fill>
  </fills>
  <borders count="11">
    <border>
      <left/>
      <right/>
      <top/>
      <bottom/>
      <diagonal/>
    </border>
    <border>
      <left style="thin">
        <color rgb="007B81D6"/>
      </left>
      <right style="thin">
        <color rgb="007B81D6"/>
      </right>
      <top style="thin">
        <color rgb="007B81D6"/>
      </top>
      <bottom style="thin">
        <color rgb="007B81D6"/>
      </bottom>
    </border>
    <border>
      <left style="thin">
        <color rgb="00C8CCE0"/>
      </left>
      <right style="thin">
        <color rgb="00C8CCE0"/>
      </right>
      <top style="thin">
        <color rgb="00C8CCE0"/>
      </top>
      <bottom style="thin">
        <color rgb="00C8CCE0"/>
      </bottom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indent="1"/>
    </xf>
    <xf numFmtId="0" fontId="6" fillId="10" borderId="2" applyAlignment="1" pivotButton="0" quotePrefix="0" xfId="0">
      <alignment horizontal="left" vertical="center" indent="1"/>
    </xf>
    <xf numFmtId="0" fontId="7" fillId="10" borderId="2" applyAlignment="1" pivotButton="0" quotePrefix="0" xfId="0">
      <alignment horizontal="left" vertical="center" wrapText="1" indent="1"/>
    </xf>
    <xf numFmtId="0" fontId="7" fillId="11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4" fontId="8" fillId="10" borderId="2" applyAlignment="1" pivotButton="0" quotePrefix="0" xfId="0">
      <alignment horizontal="right" vertical="center"/>
    </xf>
    <xf numFmtId="4" fontId="9" fillId="10" borderId="2" applyAlignment="1" pivotButton="0" quotePrefix="0" xfId="0">
      <alignment horizontal="right" vertical="center"/>
    </xf>
    <xf numFmtId="4" fontId="10" fillId="12" borderId="2" applyAlignment="1" pivotButton="0" quotePrefix="0" xfId="0">
      <alignment horizontal="right" vertical="center"/>
    </xf>
    <xf numFmtId="164" fontId="11" fillId="13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 indent="1"/>
    </xf>
    <xf numFmtId="0" fontId="5" fillId="10" borderId="2" applyAlignment="1" pivotButton="0" quotePrefix="0" xfId="0">
      <alignment horizontal="left" vertical="center" wrapText="1" indent="1"/>
    </xf>
    <xf numFmtId="0" fontId="13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indent="1"/>
    </xf>
    <xf numFmtId="165" fontId="8" fillId="10" borderId="2" applyAlignment="1" pivotButton="0" quotePrefix="0" xfId="0">
      <alignment horizontal="center" vertical="center"/>
    </xf>
    <xf numFmtId="4" fontId="14" fillId="12" borderId="2" applyAlignment="1" pivotButton="0" quotePrefix="0" xfId="0">
      <alignment horizontal="right" vertical="center"/>
    </xf>
    <xf numFmtId="166" fontId="5" fillId="10" borderId="2" applyAlignment="1" pivotButton="0" quotePrefix="0" xfId="0">
      <alignment horizontal="center" vertical="center"/>
    </xf>
    <xf numFmtId="1" fontId="15" fillId="14" borderId="2" applyAlignment="1" pivotButton="0" quotePrefix="0" xfId="0">
      <alignment horizontal="center" vertical="center"/>
    </xf>
    <xf numFmtId="3" fontId="12" fillId="10" borderId="2" applyAlignment="1" pivotButton="0" quotePrefix="0" xfId="0">
      <alignment horizontal="right" vertical="center"/>
    </xf>
    <xf numFmtId="167" fontId="12" fillId="10" borderId="2" applyAlignment="1" pivotButton="0" quotePrefix="0" xfId="0">
      <alignment horizontal="right" vertical="center"/>
    </xf>
    <xf numFmtId="0" fontId="16" fillId="12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 indent="1"/>
    </xf>
    <xf numFmtId="0" fontId="6" fillId="15" borderId="2" applyAlignment="1" pivotButton="0" quotePrefix="0" xfId="0">
      <alignment horizontal="left" vertical="center" indent="1"/>
    </xf>
    <xf numFmtId="0" fontId="7" fillId="15" borderId="2" applyAlignment="1" pivotButton="0" quotePrefix="0" xfId="0">
      <alignment horizontal="left" vertical="center" wrapText="1" indent="1"/>
    </xf>
    <xf numFmtId="0" fontId="5" fillId="15" borderId="2" applyAlignment="1" pivotButton="0" quotePrefix="0" xfId="0">
      <alignment horizontal="center" vertical="center"/>
    </xf>
    <xf numFmtId="4" fontId="8" fillId="15" borderId="2" applyAlignment="1" pivotButton="0" quotePrefix="0" xfId="0">
      <alignment horizontal="right" vertical="center"/>
    </xf>
    <xf numFmtId="4" fontId="9" fillId="15" borderId="2" applyAlignment="1" pivotButton="0" quotePrefix="0" xfId="0">
      <alignment horizontal="right" vertical="center"/>
    </xf>
    <xf numFmtId="0" fontId="12" fillId="15" borderId="2" applyAlignment="1" pivotButton="0" quotePrefix="0" xfId="0">
      <alignment horizontal="left" vertical="center" wrapText="1" indent="1"/>
    </xf>
    <xf numFmtId="0" fontId="5" fillId="15" borderId="2" applyAlignment="1" pivotButton="0" quotePrefix="0" xfId="0">
      <alignment horizontal="left" vertical="center" wrapText="1" indent="1"/>
    </xf>
    <xf numFmtId="0" fontId="13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 indent="1"/>
    </xf>
    <xf numFmtId="165" fontId="8" fillId="15" borderId="2" applyAlignment="1" pivotButton="0" quotePrefix="0" xfId="0">
      <alignment horizontal="center" vertical="center"/>
    </xf>
    <xf numFmtId="166" fontId="5" fillId="15" borderId="2" applyAlignment="1" pivotButton="0" quotePrefix="0" xfId="0">
      <alignment horizontal="center" vertical="center"/>
    </xf>
    <xf numFmtId="3" fontId="12" fillId="15" borderId="2" applyAlignment="1" pivotButton="0" quotePrefix="0" xfId="0">
      <alignment horizontal="right" vertical="center"/>
    </xf>
    <xf numFmtId="167" fontId="12" fillId="15" borderId="2" applyAlignment="1" pivotButton="0" quotePrefix="0" xfId="0">
      <alignment horizontal="right" vertical="center"/>
    </xf>
    <xf numFmtId="164" fontId="15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164" fontId="16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4" fillId="2" borderId="1" pivotButton="0" quotePrefix="0" xfId="0"/>
    <xf numFmtId="0" fontId="0" fillId="2" borderId="1" pivotButton="0" quotePrefix="0" xfId="0"/>
    <xf numFmtId="4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7" fontId="4" fillId="2" borderId="1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center" indent="1"/>
    </xf>
    <xf numFmtId="0" fontId="6" fillId="10" borderId="2" applyAlignment="1" pivotButton="0" quotePrefix="0" xfId="0">
      <alignment horizontal="left" vertical="center" indent="1"/>
    </xf>
    <xf numFmtId="0" fontId="7" fillId="10" borderId="2" applyAlignment="1" pivotButton="0" quotePrefix="0" xfId="0">
      <alignment horizontal="left" vertical="center" indent="1"/>
    </xf>
    <xf numFmtId="0" fontId="5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167" fontId="19" fillId="10" borderId="2" applyAlignment="1" pivotButton="0" quotePrefix="0" xfId="0">
      <alignment horizontal="right" vertical="center"/>
    </xf>
    <xf numFmtId="0" fontId="5" fillId="15" borderId="2" applyAlignment="1" pivotButton="0" quotePrefix="0" xfId="0">
      <alignment horizontal="left" vertical="center" indent="1"/>
    </xf>
    <xf numFmtId="0" fontId="6" fillId="15" borderId="2" applyAlignment="1" pivotButton="0" quotePrefix="0" xfId="0">
      <alignment horizontal="left" vertical="center" indent="1"/>
    </xf>
    <xf numFmtId="0" fontId="7" fillId="15" borderId="2" applyAlignment="1" pivotButton="0" quotePrefix="0" xfId="0">
      <alignment horizontal="left" vertical="center" indent="1"/>
    </xf>
    <xf numFmtId="0" fontId="5" fillId="15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/>
    </xf>
    <xf numFmtId="167" fontId="19" fillId="15" borderId="2" applyAlignment="1" pivotButton="0" quotePrefix="0" xfId="0">
      <alignment horizontal="right" vertical="center"/>
    </xf>
    <xf numFmtId="0" fontId="11" fillId="13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indent="1"/>
    </xf>
    <xf numFmtId="0" fontId="13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0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 indent="1"/>
    </xf>
    <xf numFmtId="0" fontId="13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21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1" fillId="22" borderId="3" applyAlignment="1" pivotButton="0" quotePrefix="0" xfId="0">
      <alignment horizontal="center" vertical="center" wrapText="1"/>
    </xf>
    <xf numFmtId="0" fontId="22" fillId="0" borderId="4" pivotButton="0" quotePrefix="0" xfId="0"/>
    <xf numFmtId="0" fontId="23" fillId="23" borderId="0" applyAlignment="1" pivotButton="0" quotePrefix="0" xfId="0">
      <alignment horizontal="center" vertical="center" wrapText="1"/>
    </xf>
    <xf numFmtId="0" fontId="24" fillId="24" borderId="3" applyAlignment="1" pivotButton="0" quotePrefix="0" xfId="0">
      <alignment horizontal="left" vertical="center"/>
    </xf>
    <xf numFmtId="0" fontId="25" fillId="23" borderId="0" applyAlignment="1" pivotButton="0" quotePrefix="0" xfId="0">
      <alignment horizontal="left" vertical="center"/>
    </xf>
    <xf numFmtId="0" fontId="26" fillId="25" borderId="5" applyAlignment="1" pivotButton="0" quotePrefix="0" xfId="0">
      <alignment horizontal="center" vertical="center" wrapText="1"/>
    </xf>
    <xf numFmtId="0" fontId="27" fillId="26" borderId="6" applyAlignment="1" pivotButton="0" quotePrefix="0" xfId="0">
      <alignment horizontal="left" vertical="center" wrapText="1"/>
    </xf>
    <xf numFmtId="0" fontId="28" fillId="26" borderId="6" applyAlignment="1" pivotButton="0" quotePrefix="0" xfId="0">
      <alignment horizontal="left" vertical="center" wrapText="1"/>
    </xf>
    <xf numFmtId="0" fontId="29" fillId="22" borderId="6" applyAlignment="1" pivotButton="0" quotePrefix="0" xfId="0">
      <alignment horizontal="left" vertical="center" wrapText="1"/>
    </xf>
    <xf numFmtId="0" fontId="27" fillId="27" borderId="6" applyAlignment="1" pivotButton="0" quotePrefix="0" xfId="0">
      <alignment horizontal="left" vertical="center" wrapText="1"/>
    </xf>
    <xf numFmtId="0" fontId="28" fillId="27" borderId="6" applyAlignment="1" pivotButton="0" quotePrefix="0" xfId="0">
      <alignment horizontal="left" vertical="center" wrapText="1"/>
    </xf>
    <xf numFmtId="0" fontId="24" fillId="28" borderId="3" applyAlignment="1" pivotButton="0" quotePrefix="0" xfId="0">
      <alignment horizontal="left" vertical="center"/>
    </xf>
    <xf numFmtId="0" fontId="30" fillId="29" borderId="6" applyAlignment="1" pivotButton="0" quotePrefix="0" xfId="0">
      <alignment horizontal="left" vertical="center" wrapText="1"/>
    </xf>
    <xf numFmtId="0" fontId="31" fillId="22" borderId="6" applyAlignment="1" pivotButton="0" quotePrefix="0" xfId="0">
      <alignment horizontal="left" vertical="center" wrapText="1"/>
    </xf>
    <xf numFmtId="0" fontId="32" fillId="30" borderId="6" applyAlignment="1" pivotButton="0" quotePrefix="0" xfId="0">
      <alignment horizontal="left" vertical="center" wrapText="1"/>
    </xf>
    <xf numFmtId="0" fontId="33" fillId="31" borderId="6" applyAlignment="1" pivotButton="0" quotePrefix="0" xfId="0">
      <alignment horizontal="left" vertical="center" wrapText="1"/>
    </xf>
    <xf numFmtId="0" fontId="34" fillId="22" borderId="6" applyAlignment="1" pivotButton="0" quotePrefix="0" xfId="0">
      <alignment horizontal="left" vertical="center" wrapText="1"/>
    </xf>
    <xf numFmtId="0" fontId="35" fillId="22" borderId="6" applyAlignment="1" pivotButton="0" quotePrefix="0" xfId="0">
      <alignment horizontal="left" vertical="center" wrapText="1"/>
    </xf>
    <xf numFmtId="0" fontId="36" fillId="22" borderId="6" applyAlignment="1" pivotButton="0" quotePrefix="0" xfId="0">
      <alignment horizontal="left" vertical="center" wrapText="1"/>
    </xf>
    <xf numFmtId="0" fontId="37" fillId="22" borderId="6" applyAlignment="1" pivotButton="0" quotePrefix="0" xfId="0">
      <alignment horizontal="left" vertical="center" wrapText="1"/>
    </xf>
    <xf numFmtId="0" fontId="38" fillId="25" borderId="7" applyAlignment="1" pivotButton="0" quotePrefix="0" xfId="0">
      <alignment horizontal="left" vertical="center"/>
    </xf>
    <xf numFmtId="0" fontId="22" fillId="0" borderId="8" pivotButton="0" quotePrefix="0" xfId="0"/>
    <xf numFmtId="0" fontId="24" fillId="32" borderId="3" applyAlignment="1" pivotButton="0" quotePrefix="0" xfId="0">
      <alignment horizontal="left" vertical="center"/>
    </xf>
    <xf numFmtId="0" fontId="36" fillId="27" borderId="6" applyAlignment="1" pivotButton="0" quotePrefix="0" xfId="0">
      <alignment horizontal="left" vertical="center" wrapText="1"/>
    </xf>
    <xf numFmtId="0" fontId="36" fillId="26" borderId="6" applyAlignment="1" pivotButton="0" quotePrefix="0" xfId="0">
      <alignment horizontal="left" vertical="center" wrapText="1"/>
    </xf>
    <xf numFmtId="0" fontId="35" fillId="26" borderId="6" applyAlignment="1" pivotButton="0" quotePrefix="0" xfId="0">
      <alignment horizontal="left" vertical="center" wrapText="1"/>
    </xf>
    <xf numFmtId="0" fontId="35" fillId="27" borderId="6" applyAlignment="1" pivotButton="0" quotePrefix="0" xfId="0">
      <alignment horizontal="left" vertical="center" wrapText="1"/>
    </xf>
    <xf numFmtId="0" fontId="39" fillId="26" borderId="6" applyAlignment="1" pivotButton="0" quotePrefix="0" xfId="0">
      <alignment horizontal="left" vertical="center" wrapText="1"/>
    </xf>
    <xf numFmtId="0" fontId="24" fillId="33" borderId="3" applyAlignment="1" pivotButton="0" quotePrefix="0" xfId="0">
      <alignment horizontal="left" vertical="center"/>
    </xf>
    <xf numFmtId="0" fontId="24" fillId="34" borderId="3" applyAlignment="1" pivotButton="0" quotePrefix="0" xfId="0">
      <alignment horizontal="left" vertical="center"/>
    </xf>
    <xf numFmtId="0" fontId="37" fillId="27" borderId="6" applyAlignment="1" pivotButton="0" quotePrefix="0" xfId="0">
      <alignment horizontal="left" vertical="center" wrapText="1"/>
    </xf>
    <xf numFmtId="0" fontId="37" fillId="26" borderId="6" applyAlignment="1" pivotButton="0" quotePrefix="0" xfId="0">
      <alignment horizontal="left" vertical="center" wrapText="1"/>
    </xf>
    <xf numFmtId="0" fontId="39" fillId="27" borderId="6" applyAlignment="1" pivotButton="0" quotePrefix="0" xfId="0">
      <alignment horizontal="left" vertical="center" wrapText="1"/>
    </xf>
    <xf numFmtId="0" fontId="33" fillId="35" borderId="9" applyAlignment="1" pivotButton="0" quotePrefix="0" xfId="0">
      <alignment horizontal="left" vertical="center"/>
    </xf>
    <xf numFmtId="0" fontId="22" fillId="0" borderId="10" pivotButton="0" quotePrefix="0" xfId="0"/>
    <xf numFmtId="0" fontId="40" fillId="35" borderId="6" applyAlignment="1" pivotButton="0" quotePrefix="0" xfId="0">
      <alignment horizontal="left" vertical="center" wrapText="1"/>
    </xf>
    <xf numFmtId="0" fontId="41" fillId="35" borderId="6" applyAlignment="1" pivotButton="0" quotePrefix="0" xfId="0">
      <alignment horizontal="left" vertical="center" wrapText="1"/>
    </xf>
    <xf numFmtId="0" fontId="40" fillId="36" borderId="6" applyAlignment="1" pivotButton="0" quotePrefix="0" xfId="0">
      <alignment horizontal="left" vertical="center" wrapText="1"/>
    </xf>
    <xf numFmtId="0" fontId="41" fillId="36" borderId="6" applyAlignment="1" pivotButton="0" quotePrefix="0" xfId="0">
      <alignment horizontal="left" vertical="center" wrapText="1"/>
    </xf>
    <xf numFmtId="0" fontId="42" fillId="27" borderId="6" applyAlignment="1" pivotButton="0" quotePrefix="0" xfId="0">
      <alignment horizontal="left" vertical="center" wrapText="1"/>
    </xf>
    <xf numFmtId="0" fontId="43" fillId="27" borderId="6" applyAlignment="1" pivotButton="0" quotePrefix="0" xfId="0">
      <alignment horizontal="left" vertical="center" wrapText="1"/>
    </xf>
    <xf numFmtId="0" fontId="44" fillId="26" borderId="6" applyAlignment="1" pivotButton="0" quotePrefix="0" xfId="0">
      <alignment horizontal="left" vertical="center" wrapText="1"/>
    </xf>
    <xf numFmtId="0" fontId="43" fillId="26" borderId="6" applyAlignment="1" pivotButton="0" quotePrefix="0" xfId="0">
      <alignment horizontal="left" vertical="center" wrapText="1"/>
    </xf>
    <xf numFmtId="0" fontId="45" fillId="27" borderId="6" applyAlignment="1" pivotButton="0" quotePrefix="0" xfId="0">
      <alignment horizontal="left" vertical="center" wrapText="1"/>
    </xf>
    <xf numFmtId="0" fontId="46" fillId="26" borderId="6" applyAlignment="1" pivotButton="0" quotePrefix="0" xfId="0">
      <alignment horizontal="left" vertical="center" wrapText="1"/>
    </xf>
    <xf numFmtId="0" fontId="47" fillId="27" borderId="6" applyAlignment="1" pivotButton="0" quotePrefix="0" xfId="0">
      <alignment horizontal="left" vertical="center" wrapText="1"/>
    </xf>
    <xf numFmtId="0" fontId="48" fillId="26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3BA8"/>
    <outlinePr summaryBelow="1" summaryRight="1"/>
    <pageSetUpPr/>
  </sheetPr>
  <dimension ref="A1:AB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8" customWidth="1" min="4" max="4"/>
    <col width="7" customWidth="1" min="5" max="5"/>
    <col width="16" customWidth="1" min="6" max="6"/>
    <col width="18" customWidth="1" min="7" max="7"/>
    <col width="18" customWidth="1" min="8" max="8"/>
    <col width="14" customWidth="1" min="9" max="9"/>
    <col width="15" customWidth="1" min="10" max="10"/>
    <col width="10" customWidth="1" min="11" max="11"/>
    <col width="22" customWidth="1" min="12" max="12"/>
    <col width="22" customWidth="1" min="13" max="13"/>
    <col width="36" customWidth="1" min="14" max="14"/>
    <col width="14" customWidth="1" min="15" max="15"/>
    <col width="10" customWidth="1" min="16" max="16"/>
    <col width="16" customWidth="1" min="17" max="17"/>
    <col width="12" customWidth="1" min="18" max="18"/>
    <col width="18" customWidth="1" min="19" max="19"/>
    <col width="18" customWidth="1" min="20" max="20"/>
    <col width="14" customWidth="1" min="21" max="21"/>
    <col width="16" customWidth="1" min="22" max="22"/>
    <col width="13" customWidth="1" min="23" max="23"/>
    <col width="10" customWidth="1" min="24" max="24"/>
    <col width="15" customWidth="1" min="25" max="25"/>
    <col width="30" customWidth="1" min="26" max="26"/>
    <col width="15" customWidth="1" min="27" max="27"/>
    <col width="8" customWidth="1" min="28" max="28"/>
  </cols>
  <sheetData>
    <row r="1" ht="28" customHeight="1">
      <c r="A1" s="1" t="inlineStr">
        <is>
          <t>SLOI AI — Commodity Product Catalog  v3  ·  72 Products  ·  May 2026</t>
        </is>
      </c>
    </row>
    <row r="2" ht="18" customHeight="1">
      <c r="A2" s="2" t="inlineStr">
        <is>
          <t xml:space="preserve">  🔵 Blue cells = editable inputs    🟢 Green cells = auto-calculated    Update market prices weekly    All prices in USD    Duty % entered as whole number (e.g. 5 = 5%)</t>
        </is>
      </c>
    </row>
    <row r="3" ht="4" customHeight="1"/>
    <row r="4" ht="16" customHeight="1">
      <c r="A4" s="3" t="inlineStr">
        <is>
          <t>PRODUCT IDENTIFICATION</t>
        </is>
      </c>
      <c r="F4" s="4" t="inlineStr">
        <is>
          <t>PRICING (USD)</t>
        </is>
      </c>
      <c r="L4" s="5" t="inlineStr">
        <is>
          <t>LOGISTICS &amp; TRADE ROUTE</t>
        </is>
      </c>
      <c r="Q4" s="6" t="inlineStr">
        <is>
          <t>TRADE TERMS</t>
        </is>
      </c>
      <c r="T4" s="7" t="inlineStr">
        <is>
          <t>VALIDITY &amp; DATES</t>
        </is>
      </c>
      <c r="X4" s="8" t="inlineStr">
        <is>
          <t>DEAL SETTINGS</t>
        </is>
      </c>
    </row>
    <row r="5" ht="32" customHeight="1">
      <c r="A5" s="9" t="inlineStr">
        <is>
          <t>REF Code</t>
        </is>
      </c>
      <c r="B5" s="9" t="inlineStr">
        <is>
          <t>SKU</t>
        </is>
      </c>
      <c r="C5" s="9" t="inlineStr">
        <is>
          <t>Product Name</t>
        </is>
      </c>
      <c r="D5" s="9" t="inlineStr">
        <is>
          <t>Sector</t>
        </is>
      </c>
      <c r="E5" s="9" t="inlineStr">
        <is>
          <t>Unit</t>
        </is>
      </c>
      <c r="F5" s="9" t="inlineStr">
        <is>
          <t>Cost Price ($/unit)</t>
        </is>
      </c>
      <c r="G5" s="9" t="inlineStr">
        <is>
          <t>Market Price ($/unit)</t>
        </is>
      </c>
      <c r="H5" s="9" t="inlineStr">
        <is>
          <t>Broker Floor ($/unit)</t>
        </is>
      </c>
      <c r="I5" s="9" t="inlineStr">
        <is>
          <t>Freight ($/unit)</t>
        </is>
      </c>
      <c r="J5" s="9" t="inlineStr">
        <is>
          <t>CIF Price ($/unit)</t>
        </is>
      </c>
      <c r="K5" s="9" t="inlineStr">
        <is>
          <t>Margin %</t>
        </is>
      </c>
      <c r="L5" s="9" t="inlineStr">
        <is>
          <t>Port of Origin</t>
        </is>
      </c>
      <c r="M5" s="9" t="inlineStr">
        <is>
          <t>Port of Destination</t>
        </is>
      </c>
      <c r="N5" s="9" t="inlineStr">
        <is>
          <t>Shipping Route</t>
        </is>
      </c>
      <c r="O5" s="9" t="inlineStr">
        <is>
          <t>Lead Time (days)</t>
        </is>
      </c>
      <c r="P5" s="9" t="inlineStr">
        <is>
          <t>Incoterm</t>
        </is>
      </c>
      <c r="Q5" s="9" t="inlineStr">
        <is>
          <t>Origin Country</t>
        </is>
      </c>
      <c r="R5" s="9" t="inlineStr">
        <is>
          <t>Import Duty %</t>
        </is>
      </c>
      <c r="S5" s="9" t="inlineStr">
        <is>
          <t>Landed Cost ($/unit)</t>
        </is>
      </c>
      <c r="T5" s="9" t="inlineStr">
        <is>
          <t>Payment Terms</t>
        </is>
      </c>
      <c r="U5" s="9" t="inlineStr">
        <is>
          <t>Last Updated</t>
        </is>
      </c>
      <c r="V5" s="9" t="inlineStr">
        <is>
          <t>Price Valid Until</t>
        </is>
      </c>
      <c r="W5" s="9" t="inlineStr">
        <is>
          <t>Days to Expiry</t>
        </is>
      </c>
      <c r="X5" s="9" t="inlineStr">
        <is>
          <t>MOQ</t>
        </is>
      </c>
      <c r="Y5" s="9" t="inlineStr">
        <is>
          <t>Min Deal (USD)</t>
        </is>
      </c>
      <c r="Z5" s="9" t="inlineStr">
        <is>
          <t>Certifications</t>
        </is>
      </c>
      <c r="AA5" s="9" t="inlineStr">
        <is>
          <t>Inspection Body</t>
        </is>
      </c>
      <c r="AB5" s="9" t="inlineStr">
        <is>
          <t>Active</t>
        </is>
      </c>
    </row>
    <row r="6" ht="18" customHeight="1">
      <c r="A6" s="10" t="inlineStr">
        <is>
          <t>REF-MET-001</t>
        </is>
      </c>
      <c r="B6" s="11" t="inlineStr">
        <is>
          <t>STL-12</t>
        </is>
      </c>
      <c r="C6" s="12" t="inlineStr">
        <is>
          <t>Steel Rebar G60 12mm</t>
        </is>
      </c>
      <c r="D6" s="13" t="inlineStr">
        <is>
          <t>Metals</t>
        </is>
      </c>
      <c r="E6" s="14" t="inlineStr">
        <is>
          <t>MT</t>
        </is>
      </c>
      <c r="F6" s="15" t="n">
        <v>2580</v>
      </c>
      <c r="G6" s="16" t="n">
        <v>2840</v>
      </c>
      <c r="H6" s="15" t="n">
        <v>2720</v>
      </c>
      <c r="I6" s="15" t="n">
        <v>45</v>
      </c>
      <c r="J6" s="17">
        <f>G6+I6</f>
        <v/>
      </c>
      <c r="K6" s="18">
        <f>(G6-F6)/G6</f>
        <v/>
      </c>
      <c r="L6" s="19" t="inlineStr">
        <is>
          <t>Jebel Ali, UAE</t>
        </is>
      </c>
      <c r="M6" s="19" t="inlineStr">
        <is>
          <t>Alexandria, Egypt</t>
        </is>
      </c>
      <c r="N6" s="20" t="inlineStr">
        <is>
          <t>Jebel Ali, UAE → Alexandria, Egypt</t>
        </is>
      </c>
      <c r="O6" s="21" t="n">
        <v>7</v>
      </c>
      <c r="P6" s="22" t="inlineStr">
        <is>
          <t>FOB</t>
        </is>
      </c>
      <c r="Q6" s="23" t="inlineStr">
        <is>
          <t>UAE/Turkey</t>
        </is>
      </c>
      <c r="R6" s="24" t="n">
        <v>5</v>
      </c>
      <c r="S6" s="25">
        <f>J6*(1+R6/100)</f>
        <v/>
      </c>
      <c r="T6" s="19" t="inlineStr">
        <is>
          <t>LC at sight</t>
        </is>
      </c>
      <c r="U6" s="26" t="n">
        <v>46169</v>
      </c>
      <c r="V6" s="26" t="n">
        <v>46199</v>
      </c>
      <c r="W6" s="27">
        <f>V6-TODAY()</f>
        <v/>
      </c>
      <c r="X6" s="28" t="n">
        <v>10</v>
      </c>
      <c r="Y6" s="29" t="n">
        <v>50000</v>
      </c>
      <c r="Z6" s="20" t="inlineStr">
        <is>
          <t>ISO 3834, CE, ASTM A615</t>
        </is>
      </c>
      <c r="AA6" s="21" t="inlineStr">
        <is>
          <t>SGS/BV</t>
        </is>
      </c>
      <c r="AB6" s="30" t="inlineStr">
        <is>
          <t>✓ Yes</t>
        </is>
      </c>
    </row>
    <row r="7" ht="18" customHeight="1">
      <c r="A7" s="31" t="inlineStr">
        <is>
          <t>REF-MET-001</t>
        </is>
      </c>
      <c r="B7" s="32" t="inlineStr">
        <is>
          <t>STL-HRC</t>
        </is>
      </c>
      <c r="C7" s="33" t="inlineStr">
        <is>
          <t>Steel HR Coil SS400</t>
        </is>
      </c>
      <c r="D7" s="13" t="inlineStr">
        <is>
          <t>Metals</t>
        </is>
      </c>
      <c r="E7" s="34" t="inlineStr">
        <is>
          <t>MT</t>
        </is>
      </c>
      <c r="F7" s="35" t="n">
        <v>2820</v>
      </c>
      <c r="G7" s="36" t="n">
        <v>3100</v>
      </c>
      <c r="H7" s="35" t="n">
        <v>2950</v>
      </c>
      <c r="I7" s="35" t="n">
        <v>55</v>
      </c>
      <c r="J7" s="17">
        <f>G7+I7</f>
        <v/>
      </c>
      <c r="K7" s="18">
        <f>(G7-F7)/G7</f>
        <v/>
      </c>
      <c r="L7" s="37" t="inlineStr">
        <is>
          <t>Jebel Ali, UAE</t>
        </is>
      </c>
      <c r="M7" s="37" t="inlineStr">
        <is>
          <t>Port Said, Egypt</t>
        </is>
      </c>
      <c r="N7" s="38" t="inlineStr">
        <is>
          <t>Jebel Ali, UAE → Port Said, Egypt</t>
        </is>
      </c>
      <c r="O7" s="39" t="n">
        <v>10</v>
      </c>
      <c r="P7" s="40" t="inlineStr">
        <is>
          <t>FOB</t>
        </is>
      </c>
      <c r="Q7" s="41" t="inlineStr">
        <is>
          <t>UAE/Turkey</t>
        </is>
      </c>
      <c r="R7" s="42" t="n">
        <v>5</v>
      </c>
      <c r="S7" s="25">
        <f>J7*(1+R7/100)</f>
        <v/>
      </c>
      <c r="T7" s="37" t="inlineStr">
        <is>
          <t>LC at sight</t>
        </is>
      </c>
      <c r="U7" s="43" t="n">
        <v>46169</v>
      </c>
      <c r="V7" s="43" t="n">
        <v>46199</v>
      </c>
      <c r="W7" s="27">
        <f>V7-TODAY()</f>
        <v/>
      </c>
      <c r="X7" s="44" t="n">
        <v>20</v>
      </c>
      <c r="Y7" s="45" t="n">
        <v>80000</v>
      </c>
      <c r="Z7" s="38" t="inlineStr">
        <is>
          <t>ISO 3834, JIS G3101</t>
        </is>
      </c>
      <c r="AA7" s="39" t="inlineStr">
        <is>
          <t>BV</t>
        </is>
      </c>
      <c r="AB7" s="30" t="inlineStr">
        <is>
          <t>✓ Yes</t>
        </is>
      </c>
    </row>
    <row r="8" ht="18" customHeight="1">
      <c r="A8" s="10" t="inlineStr">
        <is>
          <t>REF-MET-001</t>
        </is>
      </c>
      <c r="B8" s="11" t="inlineStr">
        <is>
          <t>STL-CRC</t>
        </is>
      </c>
      <c r="C8" s="12" t="inlineStr">
        <is>
          <t>Steel CR Coil DC01</t>
        </is>
      </c>
      <c r="D8" s="13" t="inlineStr">
        <is>
          <t>Metals</t>
        </is>
      </c>
      <c r="E8" s="14" t="inlineStr">
        <is>
          <t>MT</t>
        </is>
      </c>
      <c r="F8" s="15" t="n">
        <v>3100</v>
      </c>
      <c r="G8" s="16" t="n">
        <v>3400</v>
      </c>
      <c r="H8" s="15" t="n">
        <v>3220</v>
      </c>
      <c r="I8" s="15" t="n">
        <v>65</v>
      </c>
      <c r="J8" s="17">
        <f>G8+I8</f>
        <v/>
      </c>
      <c r="K8" s="18">
        <f>(G8-F8)/G8</f>
        <v/>
      </c>
      <c r="L8" s="19" t="inlineStr">
        <is>
          <t>Hamburg, Germany</t>
        </is>
      </c>
      <c r="M8" s="19" t="inlineStr">
        <is>
          <t>Jebel Ali, UAE</t>
        </is>
      </c>
      <c r="N8" s="20" t="inlineStr">
        <is>
          <t>Hamburg, Germany → Jebel Ali, UAE</t>
        </is>
      </c>
      <c r="O8" s="21" t="n">
        <v>12</v>
      </c>
      <c r="P8" s="22" t="inlineStr">
        <is>
          <t>FOB</t>
        </is>
      </c>
      <c r="Q8" s="23" t="inlineStr">
        <is>
          <t>Germany</t>
        </is>
      </c>
      <c r="R8" s="24" t="n">
        <v>0</v>
      </c>
      <c r="S8" s="25">
        <f>J8*(1+R8/100)</f>
        <v/>
      </c>
      <c r="T8" s="19" t="inlineStr">
        <is>
          <t>LC 30 days</t>
        </is>
      </c>
      <c r="U8" s="26" t="n">
        <v>46169</v>
      </c>
      <c r="V8" s="26" t="n">
        <v>46199</v>
      </c>
      <c r="W8" s="27">
        <f>V8-TODAY()</f>
        <v/>
      </c>
      <c r="X8" s="28" t="n">
        <v>20</v>
      </c>
      <c r="Y8" s="29" t="n">
        <v>80000</v>
      </c>
      <c r="Z8" s="20" t="inlineStr">
        <is>
          <t>EN 10130, ISO 3834</t>
        </is>
      </c>
      <c r="AA8" s="21" t="inlineStr">
        <is>
          <t>SGS</t>
        </is>
      </c>
      <c r="AB8" s="30" t="inlineStr">
        <is>
          <t>✓ Yes</t>
        </is>
      </c>
    </row>
    <row r="9" ht="18" customHeight="1">
      <c r="A9" s="31" t="inlineStr">
        <is>
          <t>REF-MET-002</t>
        </is>
      </c>
      <c r="B9" s="32" t="inlineStr">
        <is>
          <t>ALU-6061</t>
        </is>
      </c>
      <c r="C9" s="33" t="inlineStr">
        <is>
          <t>Aluminum 6061-T6</t>
        </is>
      </c>
      <c r="D9" s="13" t="inlineStr">
        <is>
          <t>Metals</t>
        </is>
      </c>
      <c r="E9" s="34" t="inlineStr">
        <is>
          <t>MT</t>
        </is>
      </c>
      <c r="F9" s="35" t="n">
        <v>8400</v>
      </c>
      <c r="G9" s="36" t="n">
        <v>9200</v>
      </c>
      <c r="H9" s="35" t="n">
        <v>8800</v>
      </c>
      <c r="I9" s="35" t="n">
        <v>75</v>
      </c>
      <c r="J9" s="17">
        <f>G9+I9</f>
        <v/>
      </c>
      <c r="K9" s="18">
        <f>(G9-F9)/G9</f>
        <v/>
      </c>
      <c r="L9" s="37" t="inlineStr">
        <is>
          <t>Jebel Ali, UAE</t>
        </is>
      </c>
      <c r="M9" s="37" t="inlineStr">
        <is>
          <t>Haifa, Israel</t>
        </is>
      </c>
      <c r="N9" s="38" t="inlineStr">
        <is>
          <t>Jebel Ali, UAE → Haifa, Israel</t>
        </is>
      </c>
      <c r="O9" s="39" t="n">
        <v>8</v>
      </c>
      <c r="P9" s="40" t="inlineStr">
        <is>
          <t>FOB</t>
        </is>
      </c>
      <c r="Q9" s="41" t="inlineStr">
        <is>
          <t>UAE/China</t>
        </is>
      </c>
      <c r="R9" s="42" t="n">
        <v>0</v>
      </c>
      <c r="S9" s="25">
        <f>J9*(1+R9/100)</f>
        <v/>
      </c>
      <c r="T9" s="37" t="inlineStr">
        <is>
          <t>TT in advance</t>
        </is>
      </c>
      <c r="U9" s="43" t="n">
        <v>46169</v>
      </c>
      <c r="V9" s="43" t="n">
        <v>46199</v>
      </c>
      <c r="W9" s="27">
        <f>V9-TODAY()</f>
        <v/>
      </c>
      <c r="X9" s="44" t="n">
        <v>5</v>
      </c>
      <c r="Y9" s="45" t="n">
        <v>50000</v>
      </c>
      <c r="Z9" s="38" t="inlineStr">
        <is>
          <t>CE, REACH, AMS 2770</t>
        </is>
      </c>
      <c r="AA9" s="39" t="inlineStr">
        <is>
          <t>Intertek</t>
        </is>
      </c>
      <c r="AB9" s="30" t="inlineStr">
        <is>
          <t>✓ Yes</t>
        </is>
      </c>
    </row>
    <row r="10" ht="18" customHeight="1">
      <c r="A10" s="10" t="inlineStr">
        <is>
          <t>REF-MET-002</t>
        </is>
      </c>
      <c r="B10" s="11" t="inlineStr">
        <is>
          <t>ALU-PRF</t>
        </is>
      </c>
      <c r="C10" s="12" t="inlineStr">
        <is>
          <t>Aluminum Profiles</t>
        </is>
      </c>
      <c r="D10" s="13" t="inlineStr">
        <is>
          <t>Metals</t>
        </is>
      </c>
      <c r="E10" s="14" t="inlineStr">
        <is>
          <t>m</t>
        </is>
      </c>
      <c r="F10" s="15" t="n">
        <v>32</v>
      </c>
      <c r="G10" s="16" t="n">
        <v>38</v>
      </c>
      <c r="H10" s="15" t="n">
        <v>35</v>
      </c>
      <c r="I10" s="15" t="n">
        <v>2</v>
      </c>
      <c r="J10" s="17">
        <f>G10+I10</f>
        <v/>
      </c>
      <c r="K10" s="46">
        <f>(G10-F10)/G10</f>
        <v/>
      </c>
      <c r="L10" s="19" t="inlineStr">
        <is>
          <t>Jebel Ali, UAE</t>
        </is>
      </c>
      <c r="M10" s="19" t="inlineStr">
        <is>
          <t>Aqaba, Jordan</t>
        </is>
      </c>
      <c r="N10" s="20" t="inlineStr">
        <is>
          <t>Jebel Ali, UAE → Aqaba, Jordan</t>
        </is>
      </c>
      <c r="O10" s="21" t="n">
        <v>8</v>
      </c>
      <c r="P10" s="22" t="inlineStr">
        <is>
          <t>FOB</t>
        </is>
      </c>
      <c r="Q10" s="23" t="inlineStr">
        <is>
          <t>UAE/China</t>
        </is>
      </c>
      <c r="R10" s="24" t="n">
        <v>0</v>
      </c>
      <c r="S10" s="25">
        <f>J10*(1+R10/100)</f>
        <v/>
      </c>
      <c r="T10" s="19" t="inlineStr">
        <is>
          <t>TT in advance</t>
        </is>
      </c>
      <c r="U10" s="26" t="n">
        <v>46169</v>
      </c>
      <c r="V10" s="26" t="n">
        <v>46199</v>
      </c>
      <c r="W10" s="27">
        <f>V10-TODAY()</f>
        <v/>
      </c>
      <c r="X10" s="28" t="n">
        <v>500</v>
      </c>
      <c r="Y10" s="29" t="n">
        <v>20000</v>
      </c>
      <c r="Z10" s="20" t="inlineStr">
        <is>
          <t>CE, REACH</t>
        </is>
      </c>
      <c r="AA10" s="21" t="inlineStr">
        <is>
          <t>None</t>
        </is>
      </c>
      <c r="AB10" s="30" t="inlineStr">
        <is>
          <t>✓ Yes</t>
        </is>
      </c>
    </row>
    <row r="11" ht="18" customHeight="1">
      <c r="A11" s="31" t="inlineStr">
        <is>
          <t>REF-MET-003</t>
        </is>
      </c>
      <c r="B11" s="32" t="inlineStr">
        <is>
          <t>CPR-ETP</t>
        </is>
      </c>
      <c r="C11" s="33" t="inlineStr">
        <is>
          <t>Copper ETP Rod 8mm</t>
        </is>
      </c>
      <c r="D11" s="13" t="inlineStr">
        <is>
          <t>Metals</t>
        </is>
      </c>
      <c r="E11" s="34" t="inlineStr">
        <is>
          <t>MT</t>
        </is>
      </c>
      <c r="F11" s="35" t="n">
        <v>8900</v>
      </c>
      <c r="G11" s="36" t="n">
        <v>9800</v>
      </c>
      <c r="H11" s="35" t="n">
        <v>9300</v>
      </c>
      <c r="I11" s="35" t="n">
        <v>90</v>
      </c>
      <c r="J11" s="17">
        <f>G11+I11</f>
        <v/>
      </c>
      <c r="K11" s="18">
        <f>(G11-F11)/G11</f>
        <v/>
      </c>
      <c r="L11" s="37" t="inlineStr">
        <is>
          <t>Antwerp, Belgium</t>
        </is>
      </c>
      <c r="M11" s="37" t="inlineStr">
        <is>
          <t>Jebel Ali, UAE</t>
        </is>
      </c>
      <c r="N11" s="38" t="inlineStr">
        <is>
          <t>Antwerp, Belgium → Jebel Ali, UAE</t>
        </is>
      </c>
      <c r="O11" s="39" t="n">
        <v>10</v>
      </c>
      <c r="P11" s="47" t="inlineStr">
        <is>
          <t>CIF</t>
        </is>
      </c>
      <c r="Q11" s="41" t="inlineStr">
        <is>
          <t>Chile/UAE</t>
        </is>
      </c>
      <c r="R11" s="42" t="n">
        <v>0</v>
      </c>
      <c r="S11" s="25">
        <f>J11*(1+R11/100)</f>
        <v/>
      </c>
      <c r="T11" s="37" t="inlineStr">
        <is>
          <t>LC at sight</t>
        </is>
      </c>
      <c r="U11" s="43" t="n">
        <v>46169</v>
      </c>
      <c r="V11" s="43" t="n">
        <v>46199</v>
      </c>
      <c r="W11" s="27">
        <f>V11-TODAY()</f>
        <v/>
      </c>
      <c r="X11" s="44" t="n">
        <v>5</v>
      </c>
      <c r="Y11" s="45" t="n">
        <v>50000</v>
      </c>
      <c r="Z11" s="38" t="inlineStr">
        <is>
          <t>ASTM B187, EN 13599</t>
        </is>
      </c>
      <c r="AA11" s="39" t="inlineStr">
        <is>
          <t>SGS</t>
        </is>
      </c>
      <c r="AB11" s="30" t="inlineStr">
        <is>
          <t>✓ Yes</t>
        </is>
      </c>
    </row>
    <row r="12" ht="18" customHeight="1">
      <c r="A12" s="10" t="inlineStr">
        <is>
          <t>REF-BLD-001</t>
        </is>
      </c>
      <c r="B12" s="11" t="inlineStr">
        <is>
          <t>BLK-200</t>
        </is>
      </c>
      <c r="C12" s="12" t="inlineStr">
        <is>
          <t>Concrete Block 20cm</t>
        </is>
      </c>
      <c r="D12" s="48" t="inlineStr">
        <is>
          <t>Building</t>
        </is>
      </c>
      <c r="E12" s="14" t="inlineStr">
        <is>
          <t>Unit</t>
        </is>
      </c>
      <c r="F12" s="15" t="n">
        <v>3.8</v>
      </c>
      <c r="G12" s="16" t="n">
        <v>4.8</v>
      </c>
      <c r="H12" s="15" t="n">
        <v>4.2</v>
      </c>
      <c r="I12" s="15" t="n">
        <v>0.3</v>
      </c>
      <c r="J12" s="17">
        <f>G12+I12</f>
        <v/>
      </c>
      <c r="K12" s="49">
        <f>(G12-F12)/G12</f>
        <v/>
      </c>
      <c r="L12" s="19" t="inlineStr">
        <is>
          <t>Jebel Ali, UAE</t>
        </is>
      </c>
      <c r="M12" s="19" t="inlineStr">
        <is>
          <t>Dubai, UAE</t>
        </is>
      </c>
      <c r="N12" s="20" t="inlineStr">
        <is>
          <t>Jebel Ali, UAE → Dubai, UAE</t>
        </is>
      </c>
      <c r="O12" s="21" t="n">
        <v>3</v>
      </c>
      <c r="P12" s="50" t="inlineStr">
        <is>
          <t>DAP</t>
        </is>
      </c>
      <c r="Q12" s="23" t="inlineStr">
        <is>
          <t>UAE</t>
        </is>
      </c>
      <c r="R12" s="24" t="n">
        <v>5</v>
      </c>
      <c r="S12" s="25">
        <f>J12*(1+R12/100)</f>
        <v/>
      </c>
      <c r="T12" s="19" t="inlineStr">
        <is>
          <t>TT in advance</t>
        </is>
      </c>
      <c r="U12" s="26" t="n">
        <v>46169</v>
      </c>
      <c r="V12" s="26" t="n">
        <v>46199</v>
      </c>
      <c r="W12" s="27">
        <f>V12-TODAY()</f>
        <v/>
      </c>
      <c r="X12" s="28" t="n">
        <v>1000</v>
      </c>
      <c r="Y12" s="29" t="n">
        <v>5000</v>
      </c>
      <c r="Z12" s="20" t="inlineStr">
        <is>
          <t>ISO 9001, ASTM C90</t>
        </is>
      </c>
      <c r="AA12" s="21" t="inlineStr">
        <is>
          <t>None</t>
        </is>
      </c>
      <c r="AB12" s="30" t="inlineStr">
        <is>
          <t>✓ Yes</t>
        </is>
      </c>
    </row>
    <row r="13" ht="18" customHeight="1">
      <c r="A13" s="31" t="inlineStr">
        <is>
          <t>REF-BLD-001</t>
        </is>
      </c>
      <c r="B13" s="32" t="inlineStr">
        <is>
          <t>CNC-B25</t>
        </is>
      </c>
      <c r="C13" s="33" t="inlineStr">
        <is>
          <t>Ready-Mix Concrete B25</t>
        </is>
      </c>
      <c r="D13" s="48" t="inlineStr">
        <is>
          <t>Building</t>
        </is>
      </c>
      <c r="E13" s="34" t="inlineStr">
        <is>
          <t>m³</t>
        </is>
      </c>
      <c r="F13" s="35" t="n">
        <v>310</v>
      </c>
      <c r="G13" s="36" t="n">
        <v>380</v>
      </c>
      <c r="H13" s="35" t="n">
        <v>345</v>
      </c>
      <c r="I13" s="35" t="n">
        <v>0</v>
      </c>
      <c r="J13" s="17">
        <f>G13+I13</f>
        <v/>
      </c>
      <c r="K13" s="46">
        <f>(G13-F13)/G13</f>
        <v/>
      </c>
      <c r="L13" s="37" t="inlineStr">
        <is>
          <t>Dubai, UAE</t>
        </is>
      </c>
      <c r="M13" s="37" t="inlineStr">
        <is>
          <t>Dubai, UAE</t>
        </is>
      </c>
      <c r="N13" s="38" t="inlineStr">
        <is>
          <t>Dubai, UAE → Dubai, UAE</t>
        </is>
      </c>
      <c r="O13" s="39" t="n">
        <v>2</v>
      </c>
      <c r="P13" s="51" t="inlineStr">
        <is>
          <t>DAP</t>
        </is>
      </c>
      <c r="Q13" s="41" t="inlineStr">
        <is>
          <t>UAE</t>
        </is>
      </c>
      <c r="R13" s="42" t="n">
        <v>5</v>
      </c>
      <c r="S13" s="25">
        <f>J13*(1+R13/100)</f>
        <v/>
      </c>
      <c r="T13" s="37" t="inlineStr">
        <is>
          <t>TT in advance</t>
        </is>
      </c>
      <c r="U13" s="43" t="n">
        <v>46169</v>
      </c>
      <c r="V13" s="43" t="n">
        <v>46199</v>
      </c>
      <c r="W13" s="27">
        <f>V13-TODAY()</f>
        <v/>
      </c>
      <c r="X13" s="44" t="n">
        <v>10</v>
      </c>
      <c r="Y13" s="45" t="n">
        <v>5000</v>
      </c>
      <c r="Z13" s="38" t="inlineStr">
        <is>
          <t>ISO 9001, BS 8500</t>
        </is>
      </c>
      <c r="AA13" s="39" t="inlineStr">
        <is>
          <t>None</t>
        </is>
      </c>
      <c r="AB13" s="30" t="inlineStr">
        <is>
          <t>✓ Yes</t>
        </is>
      </c>
    </row>
    <row r="14" ht="18" customHeight="1">
      <c r="A14" s="10" t="inlineStr">
        <is>
          <t>REF-BLD-002</t>
        </is>
      </c>
      <c r="B14" s="11" t="inlineStr">
        <is>
          <t>TLE-6060</t>
        </is>
      </c>
      <c r="C14" s="12" t="inlineStr">
        <is>
          <t>Porcelain Tile 60×60cm</t>
        </is>
      </c>
      <c r="D14" s="48" t="inlineStr">
        <is>
          <t>Building</t>
        </is>
      </c>
      <c r="E14" s="14" t="inlineStr">
        <is>
          <t>m²</t>
        </is>
      </c>
      <c r="F14" s="15" t="n">
        <v>48</v>
      </c>
      <c r="G14" s="16" t="n">
        <v>62</v>
      </c>
      <c r="H14" s="15" t="n">
        <v>55</v>
      </c>
      <c r="I14" s="15" t="n">
        <v>8</v>
      </c>
      <c r="J14" s="17">
        <f>G14+I14</f>
        <v/>
      </c>
      <c r="K14" s="49">
        <f>(G14-F14)/G14</f>
        <v/>
      </c>
      <c r="L14" s="19" t="inlineStr">
        <is>
          <t>Genoa, Italy</t>
        </is>
      </c>
      <c r="M14" s="19" t="inlineStr">
        <is>
          <t>Jebel Ali, UAE</t>
        </is>
      </c>
      <c r="N14" s="20" t="inlineStr">
        <is>
          <t>Genoa, Italy → Jebel Ali, UAE</t>
        </is>
      </c>
      <c r="O14" s="21" t="n">
        <v>5</v>
      </c>
      <c r="P14" s="52" t="inlineStr">
        <is>
          <t>CIF</t>
        </is>
      </c>
      <c r="Q14" s="23" t="inlineStr">
        <is>
          <t>Italy/Spain</t>
        </is>
      </c>
      <c r="R14" s="24" t="n">
        <v>5</v>
      </c>
      <c r="S14" s="25">
        <f>J14*(1+R14/100)</f>
        <v/>
      </c>
      <c r="T14" s="19" t="inlineStr">
        <is>
          <t>LC 60 days</t>
        </is>
      </c>
      <c r="U14" s="26" t="n">
        <v>46169</v>
      </c>
      <c r="V14" s="26" t="n">
        <v>46199</v>
      </c>
      <c r="W14" s="27">
        <f>V14-TODAY()</f>
        <v/>
      </c>
      <c r="X14" s="28" t="n">
        <v>100</v>
      </c>
      <c r="Y14" s="29" t="n">
        <v>5000</v>
      </c>
      <c r="Z14" s="20" t="inlineStr">
        <is>
          <t>ISO 9001, CE</t>
        </is>
      </c>
      <c r="AA14" s="21" t="inlineStr">
        <is>
          <t>None</t>
        </is>
      </c>
      <c r="AB14" s="30" t="inlineStr">
        <is>
          <t>✓ Yes</t>
        </is>
      </c>
    </row>
    <row r="15" ht="18" customHeight="1">
      <c r="A15" s="31" t="inlineStr">
        <is>
          <t>REF-BLD-003</t>
        </is>
      </c>
      <c r="B15" s="32" t="inlineStr">
        <is>
          <t>PVC-110</t>
        </is>
      </c>
      <c r="C15" s="33" t="inlineStr">
        <is>
          <t>PVC Pipe 110mm SDR34</t>
        </is>
      </c>
      <c r="D15" s="48" t="inlineStr">
        <is>
          <t>Building</t>
        </is>
      </c>
      <c r="E15" s="34" t="inlineStr">
        <is>
          <t>m</t>
        </is>
      </c>
      <c r="F15" s="35" t="n">
        <v>21</v>
      </c>
      <c r="G15" s="36" t="n">
        <v>28</v>
      </c>
      <c r="H15" s="35" t="n">
        <v>25</v>
      </c>
      <c r="I15" s="35" t="n">
        <v>1.5</v>
      </c>
      <c r="J15" s="17">
        <f>G15+I15</f>
        <v/>
      </c>
      <c r="K15" s="49">
        <f>(G15-F15)/G15</f>
        <v/>
      </c>
      <c r="L15" s="37" t="inlineStr">
        <is>
          <t>Jebel Ali, UAE</t>
        </is>
      </c>
      <c r="M15" s="37" t="inlineStr">
        <is>
          <t>Aqaba, Jordan</t>
        </is>
      </c>
      <c r="N15" s="38" t="inlineStr">
        <is>
          <t>Jebel Ali, UAE → Aqaba, Jordan</t>
        </is>
      </c>
      <c r="O15" s="39" t="n">
        <v>4</v>
      </c>
      <c r="P15" s="51" t="inlineStr">
        <is>
          <t>DAP</t>
        </is>
      </c>
      <c r="Q15" s="41" t="inlineStr">
        <is>
          <t>UAE/Egypt</t>
        </is>
      </c>
      <c r="R15" s="42" t="n">
        <v>5</v>
      </c>
      <c r="S15" s="25">
        <f>J15*(1+R15/100)</f>
        <v/>
      </c>
      <c r="T15" s="37" t="inlineStr">
        <is>
          <t>TT in advance</t>
        </is>
      </c>
      <c r="U15" s="43" t="n">
        <v>46169</v>
      </c>
      <c r="V15" s="43" t="n">
        <v>46199</v>
      </c>
      <c r="W15" s="27">
        <f>V15-TODAY()</f>
        <v/>
      </c>
      <c r="X15" s="44" t="n">
        <v>500</v>
      </c>
      <c r="Y15" s="45" t="n">
        <v>5000</v>
      </c>
      <c r="Z15" s="38" t="inlineStr">
        <is>
          <t>CE, ISO 4422</t>
        </is>
      </c>
      <c r="AA15" s="39" t="inlineStr">
        <is>
          <t>None</t>
        </is>
      </c>
      <c r="AB15" s="30" t="inlineStr">
        <is>
          <t>✓ Yes</t>
        </is>
      </c>
    </row>
    <row r="16" ht="18" customHeight="1">
      <c r="A16" s="10" t="inlineStr">
        <is>
          <t>REF-BLD-004</t>
        </is>
      </c>
      <c r="B16" s="11" t="inlineStr">
        <is>
          <t>STL-STR</t>
        </is>
      </c>
      <c r="C16" s="12" t="inlineStr">
        <is>
          <t>Structural Steel H-Beam</t>
        </is>
      </c>
      <c r="D16" s="48" t="inlineStr">
        <is>
          <t>Building</t>
        </is>
      </c>
      <c r="E16" s="14" t="inlineStr">
        <is>
          <t>MT</t>
        </is>
      </c>
      <c r="F16" s="15" t="n">
        <v>2900</v>
      </c>
      <c r="G16" s="16" t="n">
        <v>3200</v>
      </c>
      <c r="H16" s="15" t="n">
        <v>3050</v>
      </c>
      <c r="I16" s="15" t="n">
        <v>48</v>
      </c>
      <c r="J16" s="17">
        <f>G16+I16</f>
        <v/>
      </c>
      <c r="K16" s="18">
        <f>(G16-F16)/G16</f>
        <v/>
      </c>
      <c r="L16" s="19" t="inlineStr">
        <is>
          <t>Istanbul, Turkey</t>
        </is>
      </c>
      <c r="M16" s="19" t="inlineStr">
        <is>
          <t>Alexandria, Egypt</t>
        </is>
      </c>
      <c r="N16" s="20" t="inlineStr">
        <is>
          <t>Istanbul, Turkey → Alexandria, Egypt</t>
        </is>
      </c>
      <c r="O16" s="21" t="n">
        <v>8</v>
      </c>
      <c r="P16" s="22" t="inlineStr">
        <is>
          <t>FOB</t>
        </is>
      </c>
      <c r="Q16" s="23" t="inlineStr">
        <is>
          <t>Turkey</t>
        </is>
      </c>
      <c r="R16" s="24" t="n">
        <v>5</v>
      </c>
      <c r="S16" s="25">
        <f>J16*(1+R16/100)</f>
        <v/>
      </c>
      <c r="T16" s="19" t="inlineStr">
        <is>
          <t>LC at sight</t>
        </is>
      </c>
      <c r="U16" s="26" t="n">
        <v>46169</v>
      </c>
      <c r="V16" s="26" t="n">
        <v>46199</v>
      </c>
      <c r="W16" s="27">
        <f>V16-TODAY()</f>
        <v/>
      </c>
      <c r="X16" s="28" t="n">
        <v>10</v>
      </c>
      <c r="Y16" s="29" t="n">
        <v>50000</v>
      </c>
      <c r="Z16" s="20" t="inlineStr">
        <is>
          <t>EN 10034, ISO 9001</t>
        </is>
      </c>
      <c r="AA16" s="21" t="inlineStr">
        <is>
          <t>BV</t>
        </is>
      </c>
      <c r="AB16" s="30" t="inlineStr">
        <is>
          <t>✓ Yes</t>
        </is>
      </c>
    </row>
    <row r="17" ht="18" customHeight="1">
      <c r="A17" s="31" t="inlineStr">
        <is>
          <t>REF-ENE-001</t>
        </is>
      </c>
      <c r="B17" s="32" t="inlineStr">
        <is>
          <t>DSL-B2</t>
        </is>
      </c>
      <c r="C17" s="33" t="inlineStr">
        <is>
          <t>Industrial Diesel B2</t>
        </is>
      </c>
      <c r="D17" s="53" t="inlineStr">
        <is>
          <t>Energy</t>
        </is>
      </c>
      <c r="E17" s="34" t="inlineStr">
        <is>
          <t>Liter</t>
        </is>
      </c>
      <c r="F17" s="35" t="n">
        <v>3.9</v>
      </c>
      <c r="G17" s="36" t="n">
        <v>4.92</v>
      </c>
      <c r="H17" s="35" t="n">
        <v>4.5</v>
      </c>
      <c r="I17" s="35" t="n">
        <v>0.15</v>
      </c>
      <c r="J17" s="17">
        <f>G17+I17</f>
        <v/>
      </c>
      <c r="K17" s="49">
        <f>(G17-F17)/G17</f>
        <v/>
      </c>
      <c r="L17" s="37" t="inlineStr">
        <is>
          <t>Jebel Ali, UAE</t>
        </is>
      </c>
      <c r="M17" s="37" t="inlineStr">
        <is>
          <t>Aqaba, Jordan</t>
        </is>
      </c>
      <c r="N17" s="38" t="inlineStr">
        <is>
          <t>Jebel Ali, UAE → Aqaba, Jordan</t>
        </is>
      </c>
      <c r="O17" s="39" t="n">
        <v>2</v>
      </c>
      <c r="P17" s="51" t="inlineStr">
        <is>
          <t>DAP</t>
        </is>
      </c>
      <c r="Q17" s="41" t="inlineStr">
        <is>
          <t>UAE</t>
        </is>
      </c>
      <c r="R17" s="42" t="n">
        <v>0</v>
      </c>
      <c r="S17" s="25">
        <f>J17*(1+R17/100)</f>
        <v/>
      </c>
      <c r="T17" s="37" t="inlineStr">
        <is>
          <t>TT in advance</t>
        </is>
      </c>
      <c r="U17" s="43" t="n">
        <v>46169</v>
      </c>
      <c r="V17" s="43" t="n">
        <v>46199</v>
      </c>
      <c r="W17" s="27">
        <f>V17-TODAY()</f>
        <v/>
      </c>
      <c r="X17" s="44" t="n">
        <v>5000</v>
      </c>
      <c r="Y17" s="45" t="n">
        <v>25000</v>
      </c>
      <c r="Z17" s="38" t="inlineStr">
        <is>
          <t>ISO 14001, EN 590</t>
        </is>
      </c>
      <c r="AA17" s="39" t="inlineStr">
        <is>
          <t>SGS</t>
        </is>
      </c>
      <c r="AB17" s="30" t="inlineStr">
        <is>
          <t>✓ Yes</t>
        </is>
      </c>
    </row>
    <row r="18" ht="18" customHeight="1">
      <c r="A18" s="10" t="inlineStr">
        <is>
          <t>REF-ENE-001</t>
        </is>
      </c>
      <c r="B18" s="11" t="inlineStr">
        <is>
          <t>DSL-B5</t>
        </is>
      </c>
      <c r="C18" s="12" t="inlineStr">
        <is>
          <t>Biodiesel B5</t>
        </is>
      </c>
      <c r="D18" s="53" t="inlineStr">
        <is>
          <t>Energy</t>
        </is>
      </c>
      <c r="E18" s="14" t="inlineStr">
        <is>
          <t>Liter</t>
        </is>
      </c>
      <c r="F18" s="15" t="n">
        <v>4.1</v>
      </c>
      <c r="G18" s="16" t="n">
        <v>5.15</v>
      </c>
      <c r="H18" s="15" t="n">
        <v>4.7</v>
      </c>
      <c r="I18" s="15" t="n">
        <v>0.18</v>
      </c>
      <c r="J18" s="17">
        <f>G18+I18</f>
        <v/>
      </c>
      <c r="K18" s="49">
        <f>(G18-F18)/G18</f>
        <v/>
      </c>
      <c r="L18" s="19" t="inlineStr">
        <is>
          <t>Jebel Ali, UAE</t>
        </is>
      </c>
      <c r="M18" s="19" t="inlineStr">
        <is>
          <t>Salalah, Oman</t>
        </is>
      </c>
      <c r="N18" s="20" t="inlineStr">
        <is>
          <t>Jebel Ali, UAE → Salalah, Oman</t>
        </is>
      </c>
      <c r="O18" s="21" t="n">
        <v>3</v>
      </c>
      <c r="P18" s="50" t="inlineStr">
        <is>
          <t>DAP</t>
        </is>
      </c>
      <c r="Q18" s="23" t="inlineStr">
        <is>
          <t>UAE</t>
        </is>
      </c>
      <c r="R18" s="24" t="n">
        <v>0</v>
      </c>
      <c r="S18" s="25">
        <f>J18*(1+R18/100)</f>
        <v/>
      </c>
      <c r="T18" s="19" t="inlineStr">
        <is>
          <t>TT in advance</t>
        </is>
      </c>
      <c r="U18" s="26" t="n">
        <v>46169</v>
      </c>
      <c r="V18" s="26" t="n">
        <v>46199</v>
      </c>
      <c r="W18" s="27">
        <f>V18-TODAY()</f>
        <v/>
      </c>
      <c r="X18" s="28" t="n">
        <v>5000</v>
      </c>
      <c r="Y18" s="29" t="n">
        <v>25000</v>
      </c>
      <c r="Z18" s="20" t="inlineStr">
        <is>
          <t>ISO 14001, EN 14214</t>
        </is>
      </c>
      <c r="AA18" s="21" t="inlineStr">
        <is>
          <t>SGS</t>
        </is>
      </c>
      <c r="AB18" s="30" t="inlineStr">
        <is>
          <t>✓ Yes</t>
        </is>
      </c>
    </row>
    <row r="19" ht="18" customHeight="1">
      <c r="A19" s="31" t="inlineStr">
        <is>
          <t>REF-ENE-002</t>
        </is>
      </c>
      <c r="B19" s="32" t="inlineStr">
        <is>
          <t>LFO-380</t>
        </is>
      </c>
      <c r="C19" s="33" t="inlineStr">
        <is>
          <t>Fuel Oil 380 CST</t>
        </is>
      </c>
      <c r="D19" s="53" t="inlineStr">
        <is>
          <t>Energy</t>
        </is>
      </c>
      <c r="E19" s="34" t="inlineStr">
        <is>
          <t>MT</t>
        </is>
      </c>
      <c r="F19" s="35" t="n">
        <v>420</v>
      </c>
      <c r="G19" s="36" t="n">
        <v>510</v>
      </c>
      <c r="H19" s="35" t="n">
        <v>470</v>
      </c>
      <c r="I19" s="35" t="n">
        <v>22</v>
      </c>
      <c r="J19" s="17">
        <f>G19+I19</f>
        <v/>
      </c>
      <c r="K19" s="46">
        <f>(G19-F19)/G19</f>
        <v/>
      </c>
      <c r="L19" s="37" t="inlineStr">
        <is>
          <t>Fujairah, UAE</t>
        </is>
      </c>
      <c r="M19" s="37" t="inlineStr">
        <is>
          <t>Djibouti</t>
        </is>
      </c>
      <c r="N19" s="38" t="inlineStr">
        <is>
          <t>Fujairah, UAE → Djibouti</t>
        </is>
      </c>
      <c r="O19" s="39" t="n">
        <v>5</v>
      </c>
      <c r="P19" s="40" t="inlineStr">
        <is>
          <t>FOB</t>
        </is>
      </c>
      <c r="Q19" s="41" t="inlineStr">
        <is>
          <t>UAE</t>
        </is>
      </c>
      <c r="R19" s="42" t="n">
        <v>0</v>
      </c>
      <c r="S19" s="25">
        <f>J19*(1+R19/100)</f>
        <v/>
      </c>
      <c r="T19" s="37" t="inlineStr">
        <is>
          <t>CAD</t>
        </is>
      </c>
      <c r="U19" s="43" t="n">
        <v>46169</v>
      </c>
      <c r="V19" s="43" t="n">
        <v>46199</v>
      </c>
      <c r="W19" s="27">
        <f>V19-TODAY()</f>
        <v/>
      </c>
      <c r="X19" s="44" t="n">
        <v>100</v>
      </c>
      <c r="Y19" s="45" t="n">
        <v>50000</v>
      </c>
      <c r="Z19" s="38" t="inlineStr">
        <is>
          <t>ISO 8217</t>
        </is>
      </c>
      <c r="AA19" s="39" t="inlineStr">
        <is>
          <t>SGS</t>
        </is>
      </c>
      <c r="AB19" s="30" t="inlineStr">
        <is>
          <t>✓ Yes</t>
        </is>
      </c>
    </row>
    <row r="20" ht="18" customHeight="1">
      <c r="A20" s="10" t="inlineStr">
        <is>
          <t>REF-AGR-001</t>
        </is>
      </c>
      <c r="B20" s="11" t="inlineStr">
        <is>
          <t>WHT-HRD</t>
        </is>
      </c>
      <c r="C20" s="12" t="inlineStr">
        <is>
          <t>Hard Wheat 14% Protein</t>
        </is>
      </c>
      <c r="D20" s="54" t="inlineStr">
        <is>
          <t>Agriculture</t>
        </is>
      </c>
      <c r="E20" s="14" t="inlineStr">
        <is>
          <t>MT</t>
        </is>
      </c>
      <c r="F20" s="15" t="n">
        <v>960</v>
      </c>
      <c r="G20" s="16" t="n">
        <v>1120</v>
      </c>
      <c r="H20" s="15" t="n">
        <v>1040</v>
      </c>
      <c r="I20" s="15" t="n">
        <v>38</v>
      </c>
      <c r="J20" s="17">
        <f>G20+I20</f>
        <v/>
      </c>
      <c r="K20" s="46">
        <f>(G20-F20)/G20</f>
        <v/>
      </c>
      <c r="L20" s="19" t="inlineStr">
        <is>
          <t>Odessa, Ukraine</t>
        </is>
      </c>
      <c r="M20" s="19" t="inlineStr">
        <is>
          <t>Alexandria, Egypt</t>
        </is>
      </c>
      <c r="N20" s="20" t="inlineStr">
        <is>
          <t>Odessa, Ukraine → Alexandria, Egypt</t>
        </is>
      </c>
      <c r="O20" s="21" t="n">
        <v>14</v>
      </c>
      <c r="P20" s="52" t="inlineStr">
        <is>
          <t>CIF</t>
        </is>
      </c>
      <c r="Q20" s="23" t="inlineStr">
        <is>
          <t>Ukraine</t>
        </is>
      </c>
      <c r="R20" s="24" t="n">
        <v>0</v>
      </c>
      <c r="S20" s="25">
        <f>J20*(1+R20/100)</f>
        <v/>
      </c>
      <c r="T20" s="19" t="inlineStr">
        <is>
          <t>LC at sight</t>
        </is>
      </c>
      <c r="U20" s="26" t="n">
        <v>46169</v>
      </c>
      <c r="V20" s="26" t="n">
        <v>46199</v>
      </c>
      <c r="W20" s="27">
        <f>V20-TODAY()</f>
        <v/>
      </c>
      <c r="X20" s="28" t="n">
        <v>50</v>
      </c>
      <c r="Y20" s="29" t="n">
        <v>50000</v>
      </c>
      <c r="Z20" s="20" t="inlineStr">
        <is>
          <t>ISO 22000, HACCP</t>
        </is>
      </c>
      <c r="AA20" s="21" t="inlineStr">
        <is>
          <t>SGS</t>
        </is>
      </c>
      <c r="AB20" s="30" t="inlineStr">
        <is>
          <t>✓ Yes</t>
        </is>
      </c>
    </row>
    <row r="21" ht="18" customHeight="1">
      <c r="A21" s="31" t="inlineStr">
        <is>
          <t>REF-AGR-001</t>
        </is>
      </c>
      <c r="B21" s="32" t="inlineStr">
        <is>
          <t>WHT-SFT</t>
        </is>
      </c>
      <c r="C21" s="33" t="inlineStr">
        <is>
          <t>Soft Wheat 11% Protein</t>
        </is>
      </c>
      <c r="D21" s="54" t="inlineStr">
        <is>
          <t>Agriculture</t>
        </is>
      </c>
      <c r="E21" s="34" t="inlineStr">
        <is>
          <t>MT</t>
        </is>
      </c>
      <c r="F21" s="35" t="n">
        <v>890</v>
      </c>
      <c r="G21" s="36" t="n">
        <v>1050</v>
      </c>
      <c r="H21" s="35" t="n">
        <v>970</v>
      </c>
      <c r="I21" s="35" t="n">
        <v>42</v>
      </c>
      <c r="J21" s="17">
        <f>G21+I21</f>
        <v/>
      </c>
      <c r="K21" s="46">
        <f>(G21-F21)/G21</f>
        <v/>
      </c>
      <c r="L21" s="37" t="inlineStr">
        <is>
          <t>Rouen, France</t>
        </is>
      </c>
      <c r="M21" s="37" t="inlineStr">
        <is>
          <t>Casablanca, Morocco</t>
        </is>
      </c>
      <c r="N21" s="38" t="inlineStr">
        <is>
          <t>Rouen, France → Casablanca, Morocco</t>
        </is>
      </c>
      <c r="O21" s="39" t="n">
        <v>14</v>
      </c>
      <c r="P21" s="47" t="inlineStr">
        <is>
          <t>CIF</t>
        </is>
      </c>
      <c r="Q21" s="41" t="inlineStr">
        <is>
          <t>France</t>
        </is>
      </c>
      <c r="R21" s="42" t="n">
        <v>0</v>
      </c>
      <c r="S21" s="25">
        <f>J21*(1+R21/100)</f>
        <v/>
      </c>
      <c r="T21" s="37" t="inlineStr">
        <is>
          <t>LC 30 days</t>
        </is>
      </c>
      <c r="U21" s="43" t="n">
        <v>46169</v>
      </c>
      <c r="V21" s="43" t="n">
        <v>46199</v>
      </c>
      <c r="W21" s="27">
        <f>V21-TODAY()</f>
        <v/>
      </c>
      <c r="X21" s="44" t="n">
        <v>50</v>
      </c>
      <c r="Y21" s="45" t="n">
        <v>50000</v>
      </c>
      <c r="Z21" s="38" t="inlineStr">
        <is>
          <t>ISO 22000, HACCP</t>
        </is>
      </c>
      <c r="AA21" s="39" t="inlineStr">
        <is>
          <t>BV</t>
        </is>
      </c>
      <c r="AB21" s="30" t="inlineStr">
        <is>
          <t>✓ Yes</t>
        </is>
      </c>
    </row>
    <row r="22" ht="18" customHeight="1">
      <c r="A22" s="10" t="inlineStr">
        <is>
          <t>REF-AGR-001</t>
        </is>
      </c>
      <c r="B22" s="11" t="inlineStr">
        <is>
          <t>CRN-YLW</t>
        </is>
      </c>
      <c r="C22" s="12" t="inlineStr">
        <is>
          <t>Yellow Corn No.2</t>
        </is>
      </c>
      <c r="D22" s="54" t="inlineStr">
        <is>
          <t>Agriculture</t>
        </is>
      </c>
      <c r="E22" s="14" t="inlineStr">
        <is>
          <t>MT</t>
        </is>
      </c>
      <c r="F22" s="15" t="n">
        <v>820</v>
      </c>
      <c r="G22" s="16" t="n">
        <v>980</v>
      </c>
      <c r="H22" s="15" t="n">
        <v>900</v>
      </c>
      <c r="I22" s="15" t="n">
        <v>35</v>
      </c>
      <c r="J22" s="17">
        <f>G22+I22</f>
        <v/>
      </c>
      <c r="K22" s="46">
        <f>(G22-F22)/G22</f>
        <v/>
      </c>
      <c r="L22" s="19" t="inlineStr">
        <is>
          <t>Santos, Brazil</t>
        </is>
      </c>
      <c r="M22" s="19" t="inlineStr">
        <is>
          <t>Port Said, Egypt</t>
        </is>
      </c>
      <c r="N22" s="20" t="inlineStr">
        <is>
          <t>Santos, Brazil → Port Said, Egypt</t>
        </is>
      </c>
      <c r="O22" s="21" t="n">
        <v>14</v>
      </c>
      <c r="P22" s="52" t="inlineStr">
        <is>
          <t>CIF</t>
        </is>
      </c>
      <c r="Q22" s="23" t="inlineStr">
        <is>
          <t>Brazil</t>
        </is>
      </c>
      <c r="R22" s="24" t="n">
        <v>0</v>
      </c>
      <c r="S22" s="25">
        <f>J22*(1+R22/100)</f>
        <v/>
      </c>
      <c r="T22" s="19" t="inlineStr">
        <is>
          <t>LC at sight</t>
        </is>
      </c>
      <c r="U22" s="26" t="n">
        <v>46169</v>
      </c>
      <c r="V22" s="26" t="n">
        <v>46199</v>
      </c>
      <c r="W22" s="27">
        <f>V22-TODAY()</f>
        <v/>
      </c>
      <c r="X22" s="28" t="n">
        <v>50</v>
      </c>
      <c r="Y22" s="29" t="n">
        <v>50000</v>
      </c>
      <c r="Z22" s="20" t="inlineStr">
        <is>
          <t>ISO 22000, HACCP, Non-GMO</t>
        </is>
      </c>
      <c r="AA22" s="21" t="inlineStr">
        <is>
          <t>SGS</t>
        </is>
      </c>
      <c r="AB22" s="30" t="inlineStr">
        <is>
          <t>✓ Yes</t>
        </is>
      </c>
    </row>
    <row r="23" ht="18" customHeight="1">
      <c r="A23" s="31" t="inlineStr">
        <is>
          <t>REF-AGR-002</t>
        </is>
      </c>
      <c r="B23" s="32" t="inlineStr">
        <is>
          <t>SOY-GMO</t>
        </is>
      </c>
      <c r="C23" s="33" t="inlineStr">
        <is>
          <t>Soybean GMO 48% Protein</t>
        </is>
      </c>
      <c r="D23" s="54" t="inlineStr">
        <is>
          <t>Agriculture</t>
        </is>
      </c>
      <c r="E23" s="34" t="inlineStr">
        <is>
          <t>MT</t>
        </is>
      </c>
      <c r="F23" s="35" t="n">
        <v>1050</v>
      </c>
      <c r="G23" s="36" t="n">
        <v>1200</v>
      </c>
      <c r="H23" s="35" t="n">
        <v>1120</v>
      </c>
      <c r="I23" s="35" t="n">
        <v>40</v>
      </c>
      <c r="J23" s="17">
        <f>G23+I23</f>
        <v/>
      </c>
      <c r="K23" s="46">
        <f>(G23-F23)/G23</f>
        <v/>
      </c>
      <c r="L23" s="37" t="inlineStr">
        <is>
          <t>Paranagua, Brazil</t>
        </is>
      </c>
      <c r="M23" s="37" t="inlineStr">
        <is>
          <t>Jebel Ali, UAE</t>
        </is>
      </c>
      <c r="N23" s="38" t="inlineStr">
        <is>
          <t>Paranagua, Brazil → Jebel Ali, UAE</t>
        </is>
      </c>
      <c r="O23" s="39" t="n">
        <v>14</v>
      </c>
      <c r="P23" s="47" t="inlineStr">
        <is>
          <t>CIF</t>
        </is>
      </c>
      <c r="Q23" s="41" t="inlineStr">
        <is>
          <t>Brazil</t>
        </is>
      </c>
      <c r="R23" s="42" t="n">
        <v>0</v>
      </c>
      <c r="S23" s="25">
        <f>J23*(1+R23/100)</f>
        <v/>
      </c>
      <c r="T23" s="37" t="inlineStr">
        <is>
          <t>LC at sight</t>
        </is>
      </c>
      <c r="U23" s="43" t="n">
        <v>46169</v>
      </c>
      <c r="V23" s="43" t="n">
        <v>46199</v>
      </c>
      <c r="W23" s="27">
        <f>V23-TODAY()</f>
        <v/>
      </c>
      <c r="X23" s="44" t="n">
        <v>50</v>
      </c>
      <c r="Y23" s="45" t="n">
        <v>50000</v>
      </c>
      <c r="Z23" s="38" t="inlineStr">
        <is>
          <t>ISO 22000</t>
        </is>
      </c>
      <c r="AA23" s="39" t="inlineStr">
        <is>
          <t>SGS</t>
        </is>
      </c>
      <c r="AB23" s="30" t="inlineStr">
        <is>
          <t>✓ Yes</t>
        </is>
      </c>
    </row>
    <row r="24" ht="18" customHeight="1">
      <c r="A24" s="10" t="inlineStr">
        <is>
          <t>REF-AGR-003</t>
        </is>
      </c>
      <c r="B24" s="11" t="inlineStr">
        <is>
          <t>SGR-RAW</t>
        </is>
      </c>
      <c r="C24" s="12" t="inlineStr">
        <is>
          <t>Raw Cane Sugar VHP</t>
        </is>
      </c>
      <c r="D24" s="54" t="inlineStr">
        <is>
          <t>Agriculture</t>
        </is>
      </c>
      <c r="E24" s="14" t="inlineStr">
        <is>
          <t>MT</t>
        </is>
      </c>
      <c r="F24" s="15" t="n">
        <v>480</v>
      </c>
      <c r="G24" s="16" t="n">
        <v>560</v>
      </c>
      <c r="H24" s="15" t="n">
        <v>520</v>
      </c>
      <c r="I24" s="15" t="n">
        <v>35</v>
      </c>
      <c r="J24" s="17">
        <f>G24+I24</f>
        <v/>
      </c>
      <c r="K24" s="46">
        <f>(G24-F24)/G24</f>
        <v/>
      </c>
      <c r="L24" s="19" t="inlineStr">
        <is>
          <t>Santos, Brazil</t>
        </is>
      </c>
      <c r="M24" s="19" t="inlineStr">
        <is>
          <t>Jeddah, Saudi Arabia</t>
        </is>
      </c>
      <c r="N24" s="20" t="inlineStr">
        <is>
          <t>Santos, Brazil → Jeddah, Saudi Arabia</t>
        </is>
      </c>
      <c r="O24" s="21" t="n">
        <v>21</v>
      </c>
      <c r="P24" s="52" t="inlineStr">
        <is>
          <t>CIF</t>
        </is>
      </c>
      <c r="Q24" s="23" t="inlineStr">
        <is>
          <t>Brazil</t>
        </is>
      </c>
      <c r="R24" s="24" t="n">
        <v>5</v>
      </c>
      <c r="S24" s="25">
        <f>J24*(1+R24/100)</f>
        <v/>
      </c>
      <c r="T24" s="19" t="inlineStr">
        <is>
          <t>LC 60 days</t>
        </is>
      </c>
      <c r="U24" s="26" t="n">
        <v>46169</v>
      </c>
      <c r="V24" s="26" t="n">
        <v>46199</v>
      </c>
      <c r="W24" s="27">
        <f>V24-TODAY()</f>
        <v/>
      </c>
      <c r="X24" s="28" t="n">
        <v>50</v>
      </c>
      <c r="Y24" s="29" t="n">
        <v>25000</v>
      </c>
      <c r="Z24" s="20" t="inlineStr">
        <is>
          <t>ISO 22000, Bonsucro</t>
        </is>
      </c>
      <c r="AA24" s="21" t="inlineStr">
        <is>
          <t>Intertek</t>
        </is>
      </c>
      <c r="AB24" s="30" t="inlineStr">
        <is>
          <t>✓ Yes</t>
        </is>
      </c>
    </row>
    <row r="25" ht="18" customHeight="1">
      <c r="A25" s="31" t="inlineStr">
        <is>
          <t>REF-CHM-001</t>
        </is>
      </c>
      <c r="B25" s="32" t="inlineStr">
        <is>
          <t>H2SO4</t>
        </is>
      </c>
      <c r="C25" s="33" t="inlineStr">
        <is>
          <t>Sulfuric Acid 98%</t>
        </is>
      </c>
      <c r="D25" s="55" t="inlineStr">
        <is>
          <t>Chemicals</t>
        </is>
      </c>
      <c r="E25" s="34" t="inlineStr">
        <is>
          <t>MT</t>
        </is>
      </c>
      <c r="F25" s="35" t="n">
        <v>490</v>
      </c>
      <c r="G25" s="36" t="n">
        <v>580</v>
      </c>
      <c r="H25" s="35" t="n">
        <v>530</v>
      </c>
      <c r="I25" s="35" t="n">
        <v>30</v>
      </c>
      <c r="J25" s="17">
        <f>G25+I25</f>
        <v/>
      </c>
      <c r="K25" s="46">
        <f>(G25-F25)/G25</f>
        <v/>
      </c>
      <c r="L25" s="37" t="inlineStr">
        <is>
          <t>Jebel Ali, UAE</t>
        </is>
      </c>
      <c r="M25" s="37" t="inlineStr">
        <is>
          <t>Suez, Egypt</t>
        </is>
      </c>
      <c r="N25" s="38" t="inlineStr">
        <is>
          <t>Jebel Ali, UAE → Suez, Egypt</t>
        </is>
      </c>
      <c r="O25" s="39" t="n">
        <v>7</v>
      </c>
      <c r="P25" s="51" t="inlineStr">
        <is>
          <t>DAP</t>
        </is>
      </c>
      <c r="Q25" s="41" t="inlineStr">
        <is>
          <t>UAE/Germany</t>
        </is>
      </c>
      <c r="R25" s="42" t="n">
        <v>7</v>
      </c>
      <c r="S25" s="25">
        <f>J25*(1+R25/100)</f>
        <v/>
      </c>
      <c r="T25" s="37" t="inlineStr">
        <is>
          <t>LC at sight</t>
        </is>
      </c>
      <c r="U25" s="43" t="n">
        <v>46169</v>
      </c>
      <c r="V25" s="43" t="n">
        <v>46199</v>
      </c>
      <c r="W25" s="27">
        <f>V25-TODAY()</f>
        <v/>
      </c>
      <c r="X25" s="44" t="n">
        <v>5</v>
      </c>
      <c r="Y25" s="45" t="n">
        <v>5000</v>
      </c>
      <c r="Z25" s="38" t="inlineStr">
        <is>
          <t>REACH, ISO 9001</t>
        </is>
      </c>
      <c r="AA25" s="39" t="inlineStr">
        <is>
          <t>SGS</t>
        </is>
      </c>
      <c r="AB25" s="30" t="inlineStr">
        <is>
          <t>✓ Yes</t>
        </is>
      </c>
    </row>
    <row r="26" ht="18" customHeight="1">
      <c r="A26" s="10" t="inlineStr">
        <is>
          <t>REF-CHM-001</t>
        </is>
      </c>
      <c r="B26" s="11" t="inlineStr">
        <is>
          <t>NaOH</t>
        </is>
      </c>
      <c r="C26" s="12" t="inlineStr">
        <is>
          <t>Caustic Soda 50% Liquid</t>
        </is>
      </c>
      <c r="D26" s="55" t="inlineStr">
        <is>
          <t>Chemicals</t>
        </is>
      </c>
      <c r="E26" s="14" t="inlineStr">
        <is>
          <t>MT</t>
        </is>
      </c>
      <c r="F26" s="15" t="n">
        <v>355</v>
      </c>
      <c r="G26" s="16" t="n">
        <v>420</v>
      </c>
      <c r="H26" s="15" t="n">
        <v>385</v>
      </c>
      <c r="I26" s="15" t="n">
        <v>28</v>
      </c>
      <c r="J26" s="17">
        <f>G26+I26</f>
        <v/>
      </c>
      <c r="K26" s="46">
        <f>(G26-F26)/G26</f>
        <v/>
      </c>
      <c r="L26" s="19" t="inlineStr">
        <is>
          <t>Jebel Ali, UAE</t>
        </is>
      </c>
      <c r="M26" s="19" t="inlineStr">
        <is>
          <t>Aqaba, Jordan</t>
        </is>
      </c>
      <c r="N26" s="20" t="inlineStr">
        <is>
          <t>Jebel Ali, UAE → Aqaba, Jordan</t>
        </is>
      </c>
      <c r="O26" s="21" t="n">
        <v>7</v>
      </c>
      <c r="P26" s="50" t="inlineStr">
        <is>
          <t>DAP</t>
        </is>
      </c>
      <c r="Q26" s="23" t="inlineStr">
        <is>
          <t>UAE/Germany</t>
        </is>
      </c>
      <c r="R26" s="24" t="n">
        <v>5</v>
      </c>
      <c r="S26" s="25">
        <f>J26*(1+R26/100)</f>
        <v/>
      </c>
      <c r="T26" s="19" t="inlineStr">
        <is>
          <t>LC at sight</t>
        </is>
      </c>
      <c r="U26" s="26" t="n">
        <v>46169</v>
      </c>
      <c r="V26" s="26" t="n">
        <v>46199</v>
      </c>
      <c r="W26" s="27">
        <f>V26-TODAY()</f>
        <v/>
      </c>
      <c r="X26" s="28" t="n">
        <v>5</v>
      </c>
      <c r="Y26" s="29" t="n">
        <v>5000</v>
      </c>
      <c r="Z26" s="20" t="inlineStr">
        <is>
          <t>REACH, ISO 9001</t>
        </is>
      </c>
      <c r="AA26" s="21" t="inlineStr">
        <is>
          <t>BV</t>
        </is>
      </c>
      <c r="AB26" s="30" t="inlineStr">
        <is>
          <t>✓ Yes</t>
        </is>
      </c>
    </row>
    <row r="27" ht="18" customHeight="1">
      <c r="A27" s="31" t="inlineStr">
        <is>
          <t>REF-CHM-002</t>
        </is>
      </c>
      <c r="B27" s="32" t="inlineStr">
        <is>
          <t>UREA</t>
        </is>
      </c>
      <c r="C27" s="33" t="inlineStr">
        <is>
          <t>Urea 46% Prilled</t>
        </is>
      </c>
      <c r="D27" s="55" t="inlineStr">
        <is>
          <t>Chemicals</t>
        </is>
      </c>
      <c r="E27" s="34" t="inlineStr">
        <is>
          <t>MT</t>
        </is>
      </c>
      <c r="F27" s="35" t="n">
        <v>380</v>
      </c>
      <c r="G27" s="36" t="n">
        <v>450</v>
      </c>
      <c r="H27" s="35" t="n">
        <v>415</v>
      </c>
      <c r="I27" s="35" t="n">
        <v>30</v>
      </c>
      <c r="J27" s="17">
        <f>G27+I27</f>
        <v/>
      </c>
      <c r="K27" s="46">
        <f>(G27-F27)/G27</f>
        <v/>
      </c>
      <c r="L27" s="37" t="inlineStr">
        <is>
          <t>Jebel Ali, UAE</t>
        </is>
      </c>
      <c r="M27" s="37" t="inlineStr">
        <is>
          <t>Alexandria, Egypt</t>
        </is>
      </c>
      <c r="N27" s="38" t="inlineStr">
        <is>
          <t>Jebel Ali, UAE → Alexandria, Egypt</t>
        </is>
      </c>
      <c r="O27" s="39" t="n">
        <v>14</v>
      </c>
      <c r="P27" s="40" t="inlineStr">
        <is>
          <t>FOB</t>
        </is>
      </c>
      <c r="Q27" s="41" t="inlineStr">
        <is>
          <t>UAE/Egypt</t>
        </is>
      </c>
      <c r="R27" s="42" t="n">
        <v>0</v>
      </c>
      <c r="S27" s="25">
        <f>J27*(1+R27/100)</f>
        <v/>
      </c>
      <c r="T27" s="37" t="inlineStr">
        <is>
          <t>LC at sight</t>
        </is>
      </c>
      <c r="U27" s="43" t="n">
        <v>46169</v>
      </c>
      <c r="V27" s="43" t="n">
        <v>46199</v>
      </c>
      <c r="W27" s="27">
        <f>V27-TODAY()</f>
        <v/>
      </c>
      <c r="X27" s="44" t="n">
        <v>50</v>
      </c>
      <c r="Y27" s="45" t="n">
        <v>25000</v>
      </c>
      <c r="Z27" s="38" t="inlineStr">
        <is>
          <t>ISO 9001</t>
        </is>
      </c>
      <c r="AA27" s="39" t="inlineStr">
        <is>
          <t>SGS</t>
        </is>
      </c>
      <c r="AB27" s="30" t="inlineStr">
        <is>
          <t>✓ Yes</t>
        </is>
      </c>
    </row>
    <row r="28" ht="18" customHeight="1">
      <c r="A28" s="10" t="inlineStr">
        <is>
          <t>REF-CHM-002</t>
        </is>
      </c>
      <c r="B28" s="11" t="inlineStr">
        <is>
          <t>DAP-F</t>
        </is>
      </c>
      <c r="C28" s="12" t="inlineStr">
        <is>
          <t>DAP Fertilizer 18-46-0</t>
        </is>
      </c>
      <c r="D28" s="55" t="inlineStr">
        <is>
          <t>Chemicals</t>
        </is>
      </c>
      <c r="E28" s="14" t="inlineStr">
        <is>
          <t>MT</t>
        </is>
      </c>
      <c r="F28" s="15" t="n">
        <v>520</v>
      </c>
      <c r="G28" s="16" t="n">
        <v>620</v>
      </c>
      <c r="H28" s="15" t="n">
        <v>570</v>
      </c>
      <c r="I28" s="15" t="n">
        <v>32</v>
      </c>
      <c r="J28" s="17">
        <f>G28+I28</f>
        <v/>
      </c>
      <c r="K28" s="46">
        <f>(G28-F28)/G28</f>
        <v/>
      </c>
      <c r="L28" s="19" t="inlineStr">
        <is>
          <t>Casablanca, Morocco</t>
        </is>
      </c>
      <c r="M28" s="19" t="inlineStr">
        <is>
          <t>Jeddah, Saudi Arabia</t>
        </is>
      </c>
      <c r="N28" s="20" t="inlineStr">
        <is>
          <t>Casablanca, Morocco → Jeddah, Saudi Arabia</t>
        </is>
      </c>
      <c r="O28" s="21" t="n">
        <v>14</v>
      </c>
      <c r="P28" s="22" t="inlineStr">
        <is>
          <t>FOB</t>
        </is>
      </c>
      <c r="Q28" s="23" t="inlineStr">
        <is>
          <t>Morocco/UAE</t>
        </is>
      </c>
      <c r="R28" s="24" t="n">
        <v>0</v>
      </c>
      <c r="S28" s="25">
        <f>J28*(1+R28/100)</f>
        <v/>
      </c>
      <c r="T28" s="19" t="inlineStr">
        <is>
          <t>LC 30 days</t>
        </is>
      </c>
      <c r="U28" s="26" t="n">
        <v>46169</v>
      </c>
      <c r="V28" s="26" t="n">
        <v>46199</v>
      </c>
      <c r="W28" s="27">
        <f>V28-TODAY()</f>
        <v/>
      </c>
      <c r="X28" s="28" t="n">
        <v>50</v>
      </c>
      <c r="Y28" s="29" t="n">
        <v>25000</v>
      </c>
      <c r="Z28" s="20" t="inlineStr">
        <is>
          <t>ISO 9001</t>
        </is>
      </c>
      <c r="AA28" s="21" t="inlineStr">
        <is>
          <t>SGS</t>
        </is>
      </c>
      <c r="AB28" s="30" t="inlineStr">
        <is>
          <t>✓ Yes</t>
        </is>
      </c>
    </row>
    <row r="29" ht="18" customHeight="1">
      <c r="A29" s="31" t="inlineStr">
        <is>
          <t>REF-CHM-003</t>
        </is>
      </c>
      <c r="B29" s="32" t="inlineStr">
        <is>
          <t>PP-GRN</t>
        </is>
      </c>
      <c r="C29" s="33" t="inlineStr">
        <is>
          <t>PP Granules Homopolymer</t>
        </is>
      </c>
      <c r="D29" s="55" t="inlineStr">
        <is>
          <t>Chemicals</t>
        </is>
      </c>
      <c r="E29" s="34" t="inlineStr">
        <is>
          <t>MT</t>
        </is>
      </c>
      <c r="F29" s="35" t="n">
        <v>1100</v>
      </c>
      <c r="G29" s="36" t="n">
        <v>1280</v>
      </c>
      <c r="H29" s="35" t="n">
        <v>1190</v>
      </c>
      <c r="I29" s="35" t="n">
        <v>55</v>
      </c>
      <c r="J29" s="17">
        <f>G29+I29</f>
        <v/>
      </c>
      <c r="K29" s="46">
        <f>(G29-F29)/G29</f>
        <v/>
      </c>
      <c r="L29" s="37" t="inlineStr">
        <is>
          <t>Jebel Ali, UAE</t>
        </is>
      </c>
      <c r="M29" s="37" t="inlineStr">
        <is>
          <t>Haifa, Israel</t>
        </is>
      </c>
      <c r="N29" s="38" t="inlineStr">
        <is>
          <t>Jebel Ali, UAE → Haifa, Israel</t>
        </is>
      </c>
      <c r="O29" s="39" t="n">
        <v>10</v>
      </c>
      <c r="P29" s="47" t="inlineStr">
        <is>
          <t>CIF</t>
        </is>
      </c>
      <c r="Q29" s="41" t="inlineStr">
        <is>
          <t>UAE/Saudi</t>
        </is>
      </c>
      <c r="R29" s="42" t="n">
        <v>0</v>
      </c>
      <c r="S29" s="25">
        <f>J29*(1+R29/100)</f>
        <v/>
      </c>
      <c r="T29" s="37" t="inlineStr">
        <is>
          <t>TT in advance</t>
        </is>
      </c>
      <c r="U29" s="43" t="n">
        <v>46169</v>
      </c>
      <c r="V29" s="43" t="n">
        <v>46199</v>
      </c>
      <c r="W29" s="27">
        <f>V29-TODAY()</f>
        <v/>
      </c>
      <c r="X29" s="44" t="n">
        <v>20</v>
      </c>
      <c r="Y29" s="45" t="n">
        <v>20000</v>
      </c>
      <c r="Z29" s="38" t="inlineStr">
        <is>
          <t>REACH, RoHS</t>
        </is>
      </c>
      <c r="AA29" s="39" t="inlineStr">
        <is>
          <t>Intertek</t>
        </is>
      </c>
      <c r="AB29" s="30" t="inlineStr">
        <is>
          <t>✓ Yes</t>
        </is>
      </c>
    </row>
    <row r="30" ht="18" customHeight="1">
      <c r="A30" s="10" t="inlineStr">
        <is>
          <t>REF-CHM-003</t>
        </is>
      </c>
      <c r="B30" s="11" t="inlineStr">
        <is>
          <t>HDPE-BLW</t>
        </is>
      </c>
      <c r="C30" s="12" t="inlineStr">
        <is>
          <t>HDPE Blow Grade</t>
        </is>
      </c>
      <c r="D30" s="55" t="inlineStr">
        <is>
          <t>Chemicals</t>
        </is>
      </c>
      <c r="E30" s="14" t="inlineStr">
        <is>
          <t>MT</t>
        </is>
      </c>
      <c r="F30" s="15" t="n">
        <v>1050</v>
      </c>
      <c r="G30" s="16" t="n">
        <v>1220</v>
      </c>
      <c r="H30" s="15" t="n">
        <v>1140</v>
      </c>
      <c r="I30" s="15" t="n">
        <v>50</v>
      </c>
      <c r="J30" s="17">
        <f>G30+I30</f>
        <v/>
      </c>
      <c r="K30" s="46">
        <f>(G30-F30)/G30</f>
        <v/>
      </c>
      <c r="L30" s="19" t="inlineStr">
        <is>
          <t>Jebel Ali, UAE</t>
        </is>
      </c>
      <c r="M30" s="19" t="inlineStr">
        <is>
          <t>Alexandria, Egypt</t>
        </is>
      </c>
      <c r="N30" s="20" t="inlineStr">
        <is>
          <t>Jebel Ali, UAE → Alexandria, Egypt</t>
        </is>
      </c>
      <c r="O30" s="21" t="n">
        <v>10</v>
      </c>
      <c r="P30" s="52" t="inlineStr">
        <is>
          <t>CIF</t>
        </is>
      </c>
      <c r="Q30" s="23" t="inlineStr">
        <is>
          <t>UAE/Saudi</t>
        </is>
      </c>
      <c r="R30" s="24" t="n">
        <v>0</v>
      </c>
      <c r="S30" s="25">
        <f>J30*(1+R30/100)</f>
        <v/>
      </c>
      <c r="T30" s="19" t="inlineStr">
        <is>
          <t>TT in advance</t>
        </is>
      </c>
      <c r="U30" s="26" t="n">
        <v>46169</v>
      </c>
      <c r="V30" s="26" t="n">
        <v>46199</v>
      </c>
      <c r="W30" s="27">
        <f>V30-TODAY()</f>
        <v/>
      </c>
      <c r="X30" s="28" t="n">
        <v>20</v>
      </c>
      <c r="Y30" s="29" t="n">
        <v>20000</v>
      </c>
      <c r="Z30" s="20" t="inlineStr">
        <is>
          <t>REACH, RoHS</t>
        </is>
      </c>
      <c r="AA30" s="21" t="inlineStr">
        <is>
          <t>None</t>
        </is>
      </c>
      <c r="AB30" s="30" t="inlineStr">
        <is>
          <t>✓ Yes</t>
        </is>
      </c>
    </row>
    <row r="31" ht="18" customHeight="1">
      <c r="A31" s="31" t="inlineStr">
        <is>
          <t>REF-CMT-001</t>
        </is>
      </c>
      <c r="B31" s="32" t="inlineStr">
        <is>
          <t>CLK-KSA</t>
        </is>
      </c>
      <c r="C31" s="33" t="inlineStr">
        <is>
          <t>Clinker FOB Yanbu</t>
        </is>
      </c>
      <c r="D31" s="56" t="inlineStr">
        <is>
          <t>Cement &amp; Clinker</t>
        </is>
      </c>
      <c r="E31" s="34" t="inlineStr">
        <is>
          <t>MT</t>
        </is>
      </c>
      <c r="F31" s="35" t="n">
        <v>52</v>
      </c>
      <c r="G31" s="36" t="n">
        <v>62</v>
      </c>
      <c r="H31" s="35" t="n">
        <v>58</v>
      </c>
      <c r="I31" s="35" t="n">
        <v>8</v>
      </c>
      <c r="J31" s="17">
        <f>G31+I31</f>
        <v/>
      </c>
      <c r="K31" s="46">
        <f>(G31-F31)/G31</f>
        <v/>
      </c>
      <c r="L31" s="37" t="inlineStr">
        <is>
          <t>Yanbu, Saudi Arabia</t>
        </is>
      </c>
      <c r="M31" s="37" t="inlineStr">
        <is>
          <t>Alexandria, Egypt</t>
        </is>
      </c>
      <c r="N31" s="38" t="inlineStr">
        <is>
          <t>Yanbu, Saudi Arabia → Alexandria, Egypt</t>
        </is>
      </c>
      <c r="O31" s="39" t="n">
        <v>6</v>
      </c>
      <c r="P31" s="40" t="inlineStr">
        <is>
          <t>FOB</t>
        </is>
      </c>
      <c r="Q31" s="41" t="inlineStr">
        <is>
          <t>Saudi Arabia</t>
        </is>
      </c>
      <c r="R31" s="42" t="n">
        <v>0</v>
      </c>
      <c r="S31" s="25">
        <f>J31*(1+R31/100)</f>
        <v/>
      </c>
      <c r="T31" s="37" t="inlineStr">
        <is>
          <t>LC at sight</t>
        </is>
      </c>
      <c r="U31" s="43" t="n">
        <v>46169</v>
      </c>
      <c r="V31" s="43" t="n">
        <v>46199</v>
      </c>
      <c r="W31" s="27">
        <f>V31-TODAY()</f>
        <v/>
      </c>
      <c r="X31" s="44" t="n">
        <v>5000</v>
      </c>
      <c r="Y31" s="45" t="n">
        <v>310000</v>
      </c>
      <c r="Z31" s="38" t="inlineStr">
        <is>
          <t>ISO 9001, ASTM C150</t>
        </is>
      </c>
      <c r="AA31" s="39" t="inlineStr">
        <is>
          <t>SGS</t>
        </is>
      </c>
      <c r="AB31" s="30" t="inlineStr">
        <is>
          <t>✓ Yes</t>
        </is>
      </c>
    </row>
    <row r="32" ht="18" customHeight="1">
      <c r="A32" s="10" t="inlineStr">
        <is>
          <t>REF-CMT-001</t>
        </is>
      </c>
      <c r="B32" s="11" t="inlineStr">
        <is>
          <t>CLK-EGY</t>
        </is>
      </c>
      <c r="C32" s="12" t="inlineStr">
        <is>
          <t>Clinker FOB Alexandria</t>
        </is>
      </c>
      <c r="D32" s="56" t="inlineStr">
        <is>
          <t>Cement &amp; Clinker</t>
        </is>
      </c>
      <c r="E32" s="14" t="inlineStr">
        <is>
          <t>MT</t>
        </is>
      </c>
      <c r="F32" s="15" t="n">
        <v>46</v>
      </c>
      <c r="G32" s="16" t="n">
        <v>56</v>
      </c>
      <c r="H32" s="15" t="n">
        <v>52</v>
      </c>
      <c r="I32" s="15" t="n">
        <v>6</v>
      </c>
      <c r="J32" s="17">
        <f>G32+I32</f>
        <v/>
      </c>
      <c r="K32" s="46">
        <f>(G32-F32)/G32</f>
        <v/>
      </c>
      <c r="L32" s="19" t="inlineStr">
        <is>
          <t>Alexandria, Egypt</t>
        </is>
      </c>
      <c r="M32" s="19" t="inlineStr">
        <is>
          <t>Tripoli, Libya</t>
        </is>
      </c>
      <c r="N32" s="20" t="inlineStr">
        <is>
          <t>Alexandria, Egypt → Tripoli, Libya</t>
        </is>
      </c>
      <c r="O32" s="21" t="n">
        <v>3</v>
      </c>
      <c r="P32" s="22" t="inlineStr">
        <is>
          <t>FOB</t>
        </is>
      </c>
      <c r="Q32" s="23" t="inlineStr">
        <is>
          <t>Egypt</t>
        </is>
      </c>
      <c r="R32" s="24" t="n">
        <v>0</v>
      </c>
      <c r="S32" s="25">
        <f>J32*(1+R32/100)</f>
        <v/>
      </c>
      <c r="T32" s="19" t="inlineStr">
        <is>
          <t>LC at sight</t>
        </is>
      </c>
      <c r="U32" s="26" t="n">
        <v>46169</v>
      </c>
      <c r="V32" s="26" t="n">
        <v>46199</v>
      </c>
      <c r="W32" s="27">
        <f>V32-TODAY()</f>
        <v/>
      </c>
      <c r="X32" s="28" t="n">
        <v>3000</v>
      </c>
      <c r="Y32" s="29" t="n">
        <v>168000</v>
      </c>
      <c r="Z32" s="20" t="inlineStr">
        <is>
          <t>ISO 9001, ASTM C150</t>
        </is>
      </c>
      <c r="AA32" s="21" t="inlineStr">
        <is>
          <t>SGS</t>
        </is>
      </c>
      <c r="AB32" s="30" t="inlineStr">
        <is>
          <t>✓ Yes</t>
        </is>
      </c>
    </row>
    <row r="33" ht="18" customHeight="1">
      <c r="A33" s="31" t="inlineStr">
        <is>
          <t>REF-CMT-001</t>
        </is>
      </c>
      <c r="B33" s="32" t="inlineStr">
        <is>
          <t>CLK-ALG</t>
        </is>
      </c>
      <c r="C33" s="33" t="inlineStr">
        <is>
          <t>Clinker FOB Oran</t>
        </is>
      </c>
      <c r="D33" s="56" t="inlineStr">
        <is>
          <t>Cement &amp; Clinker</t>
        </is>
      </c>
      <c r="E33" s="34" t="inlineStr">
        <is>
          <t>MT</t>
        </is>
      </c>
      <c r="F33" s="35" t="n">
        <v>44</v>
      </c>
      <c r="G33" s="36" t="n">
        <v>54</v>
      </c>
      <c r="H33" s="35" t="n">
        <v>50</v>
      </c>
      <c r="I33" s="35" t="n">
        <v>7</v>
      </c>
      <c r="J33" s="17">
        <f>G33+I33</f>
        <v/>
      </c>
      <c r="K33" s="46">
        <f>(G33-F33)/G33</f>
        <v/>
      </c>
      <c r="L33" s="37" t="inlineStr">
        <is>
          <t>Oran, Algeria</t>
        </is>
      </c>
      <c r="M33" s="37" t="inlineStr">
        <is>
          <t>Lagos, Nigeria</t>
        </is>
      </c>
      <c r="N33" s="38" t="inlineStr">
        <is>
          <t>Oran, Algeria → Lagos, Nigeria</t>
        </is>
      </c>
      <c r="O33" s="39" t="n">
        <v>12</v>
      </c>
      <c r="P33" s="40" t="inlineStr">
        <is>
          <t>FOB</t>
        </is>
      </c>
      <c r="Q33" s="41" t="inlineStr">
        <is>
          <t>Algeria</t>
        </is>
      </c>
      <c r="R33" s="42" t="n">
        <v>0</v>
      </c>
      <c r="S33" s="25">
        <f>J33*(1+R33/100)</f>
        <v/>
      </c>
      <c r="T33" s="37" t="inlineStr">
        <is>
          <t>LC at sight</t>
        </is>
      </c>
      <c r="U33" s="43" t="n">
        <v>46169</v>
      </c>
      <c r="V33" s="43" t="n">
        <v>46199</v>
      </c>
      <c r="W33" s="27">
        <f>V33-TODAY()</f>
        <v/>
      </c>
      <c r="X33" s="44" t="n">
        <v>5000</v>
      </c>
      <c r="Y33" s="45" t="n">
        <v>270000</v>
      </c>
      <c r="Z33" s="38" t="inlineStr">
        <is>
          <t>ISO 9001</t>
        </is>
      </c>
      <c r="AA33" s="39" t="inlineStr">
        <is>
          <t>SGS</t>
        </is>
      </c>
      <c r="AB33" s="30" t="inlineStr">
        <is>
          <t>✓ Yes</t>
        </is>
      </c>
    </row>
    <row r="34" ht="18" customHeight="1">
      <c r="A34" s="10" t="inlineStr">
        <is>
          <t>REF-CMT-002</t>
        </is>
      </c>
      <c r="B34" s="11" t="inlineStr">
        <is>
          <t>OPC-KSA</t>
        </is>
      </c>
      <c r="C34" s="12" t="inlineStr">
        <is>
          <t>OPC Cement 42.5 Saudi</t>
        </is>
      </c>
      <c r="D34" s="56" t="inlineStr">
        <is>
          <t>Cement &amp; Clinker</t>
        </is>
      </c>
      <c r="E34" s="14" t="inlineStr">
        <is>
          <t>MT</t>
        </is>
      </c>
      <c r="F34" s="15" t="n">
        <v>62</v>
      </c>
      <c r="G34" s="16" t="n">
        <v>77</v>
      </c>
      <c r="H34" s="15" t="n">
        <v>74</v>
      </c>
      <c r="I34" s="15" t="n">
        <v>9</v>
      </c>
      <c r="J34" s="17">
        <f>G34+I34</f>
        <v/>
      </c>
      <c r="K34" s="46">
        <f>(G34-F34)/G34</f>
        <v/>
      </c>
      <c r="L34" s="19" t="inlineStr">
        <is>
          <t>Yanbu, Saudi Arabia</t>
        </is>
      </c>
      <c r="M34" s="19" t="inlineStr">
        <is>
          <t>Aqaba, Jordan</t>
        </is>
      </c>
      <c r="N34" s="20" t="inlineStr">
        <is>
          <t>Yanbu, Saudi Arabia → Aqaba, Jordan</t>
        </is>
      </c>
      <c r="O34" s="21" t="n">
        <v>5</v>
      </c>
      <c r="P34" s="22" t="inlineStr">
        <is>
          <t>FOB</t>
        </is>
      </c>
      <c r="Q34" s="23" t="inlineStr">
        <is>
          <t>Saudi Arabia</t>
        </is>
      </c>
      <c r="R34" s="24" t="n">
        <v>0</v>
      </c>
      <c r="S34" s="25">
        <f>J34*(1+R34/100)</f>
        <v/>
      </c>
      <c r="T34" s="19" t="inlineStr">
        <is>
          <t>LC at sight</t>
        </is>
      </c>
      <c r="U34" s="26" t="n">
        <v>46169</v>
      </c>
      <c r="V34" s="26" t="n">
        <v>46199</v>
      </c>
      <c r="W34" s="27">
        <f>V34-TODAY()</f>
        <v/>
      </c>
      <c r="X34" s="28" t="n">
        <v>3000</v>
      </c>
      <c r="Y34" s="29" t="n">
        <v>231000</v>
      </c>
      <c r="Z34" s="20" t="inlineStr">
        <is>
          <t>EN 197-1, ASTM C150</t>
        </is>
      </c>
      <c r="AA34" s="21" t="inlineStr">
        <is>
          <t>BV</t>
        </is>
      </c>
      <c r="AB34" s="30" t="inlineStr">
        <is>
          <t>✓ Yes</t>
        </is>
      </c>
    </row>
    <row r="35" ht="18" customHeight="1">
      <c r="A35" s="31" t="inlineStr">
        <is>
          <t>REF-CMT-002</t>
        </is>
      </c>
      <c r="B35" s="32" t="inlineStr">
        <is>
          <t>OPC-EGY</t>
        </is>
      </c>
      <c r="C35" s="33" t="inlineStr">
        <is>
          <t>OPC Cement 42.5 Egypt</t>
        </is>
      </c>
      <c r="D35" s="56" t="inlineStr">
        <is>
          <t>Cement &amp; Clinker</t>
        </is>
      </c>
      <c r="E35" s="34" t="inlineStr">
        <is>
          <t>MT</t>
        </is>
      </c>
      <c r="F35" s="35" t="n">
        <v>58</v>
      </c>
      <c r="G35" s="36" t="n">
        <v>70</v>
      </c>
      <c r="H35" s="35" t="n">
        <v>65</v>
      </c>
      <c r="I35" s="35" t="n">
        <v>7</v>
      </c>
      <c r="J35" s="17">
        <f>G35+I35</f>
        <v/>
      </c>
      <c r="K35" s="46">
        <f>(G35-F35)/G35</f>
        <v/>
      </c>
      <c r="L35" s="37" t="inlineStr">
        <is>
          <t>Alexandria, Egypt</t>
        </is>
      </c>
      <c r="M35" s="37" t="inlineStr">
        <is>
          <t>Tripoli, Libya</t>
        </is>
      </c>
      <c r="N35" s="38" t="inlineStr">
        <is>
          <t>Alexandria, Egypt → Tripoli, Libya</t>
        </is>
      </c>
      <c r="O35" s="39" t="n">
        <v>3</v>
      </c>
      <c r="P35" s="40" t="inlineStr">
        <is>
          <t>FOB</t>
        </is>
      </c>
      <c r="Q35" s="41" t="inlineStr">
        <is>
          <t>Egypt</t>
        </is>
      </c>
      <c r="R35" s="42" t="n">
        <v>0</v>
      </c>
      <c r="S35" s="25">
        <f>J35*(1+R35/100)</f>
        <v/>
      </c>
      <c r="T35" s="37" t="inlineStr">
        <is>
          <t>LC at sight</t>
        </is>
      </c>
      <c r="U35" s="43" t="n">
        <v>46169</v>
      </c>
      <c r="V35" s="43" t="n">
        <v>46199</v>
      </c>
      <c r="W35" s="27">
        <f>V35-TODAY()</f>
        <v/>
      </c>
      <c r="X35" s="44" t="n">
        <v>3000</v>
      </c>
      <c r="Y35" s="45" t="n">
        <v>210000</v>
      </c>
      <c r="Z35" s="38" t="inlineStr">
        <is>
          <t>EN 197-1, ASTM C150</t>
        </is>
      </c>
      <c r="AA35" s="39" t="inlineStr">
        <is>
          <t>SGS</t>
        </is>
      </c>
      <c r="AB35" s="30" t="inlineStr">
        <is>
          <t>✓ Yes</t>
        </is>
      </c>
    </row>
    <row r="36" ht="18" customHeight="1">
      <c r="A36" s="10" t="inlineStr">
        <is>
          <t>REF-CMT-003</t>
        </is>
      </c>
      <c r="B36" s="11" t="inlineStr">
        <is>
          <t>WHT-KSA</t>
        </is>
      </c>
      <c r="C36" s="12" t="inlineStr">
        <is>
          <t>White Cement 52.5 Saudi</t>
        </is>
      </c>
      <c r="D36" s="56" t="inlineStr">
        <is>
          <t>Cement &amp; Clinker</t>
        </is>
      </c>
      <c r="E36" s="14" t="inlineStr">
        <is>
          <t>MT</t>
        </is>
      </c>
      <c r="F36" s="15" t="n">
        <v>115</v>
      </c>
      <c r="G36" s="16" t="n">
        <v>155</v>
      </c>
      <c r="H36" s="15" t="n">
        <v>145</v>
      </c>
      <c r="I36" s="15" t="n">
        <v>11</v>
      </c>
      <c r="J36" s="17">
        <f>G36+I36</f>
        <v/>
      </c>
      <c r="K36" s="49">
        <f>(G36-F36)/G36</f>
        <v/>
      </c>
      <c r="L36" s="19" t="inlineStr">
        <is>
          <t>Yanbu, Saudi Arabia</t>
        </is>
      </c>
      <c r="M36" s="19" t="inlineStr">
        <is>
          <t>Jebel Ali, UAE</t>
        </is>
      </c>
      <c r="N36" s="20" t="inlineStr">
        <is>
          <t>Yanbu, Saudi Arabia → Jebel Ali, UAE</t>
        </is>
      </c>
      <c r="O36" s="21" t="n">
        <v>4</v>
      </c>
      <c r="P36" s="22" t="inlineStr">
        <is>
          <t>FOB</t>
        </is>
      </c>
      <c r="Q36" s="23" t="inlineStr">
        <is>
          <t>Saudi Arabia</t>
        </is>
      </c>
      <c r="R36" s="24" t="n">
        <v>0</v>
      </c>
      <c r="S36" s="25">
        <f>J36*(1+R36/100)</f>
        <v/>
      </c>
      <c r="T36" s="19" t="inlineStr">
        <is>
          <t>TT in advance</t>
        </is>
      </c>
      <c r="U36" s="26" t="n">
        <v>46169</v>
      </c>
      <c r="V36" s="26" t="n">
        <v>46199</v>
      </c>
      <c r="W36" s="27">
        <f>V36-TODAY()</f>
        <v/>
      </c>
      <c r="X36" s="28" t="n">
        <v>500</v>
      </c>
      <c r="Y36" s="29" t="n">
        <v>77500</v>
      </c>
      <c r="Z36" s="20" t="inlineStr">
        <is>
          <t>EN 197-1, ASTM C150</t>
        </is>
      </c>
      <c r="AA36" s="21" t="inlineStr">
        <is>
          <t>Intertek</t>
        </is>
      </c>
      <c r="AB36" s="30" t="inlineStr">
        <is>
          <t>✓ Yes</t>
        </is>
      </c>
    </row>
    <row r="37" ht="18" customHeight="1">
      <c r="A37" s="31" t="inlineStr">
        <is>
          <t>REF-CMT-003</t>
        </is>
      </c>
      <c r="B37" s="32" t="inlineStr">
        <is>
          <t>WHT-EGY</t>
        </is>
      </c>
      <c r="C37" s="33" t="inlineStr">
        <is>
          <t>White Cement 52.5 Egypt</t>
        </is>
      </c>
      <c r="D37" s="56" t="inlineStr">
        <is>
          <t>Cement &amp; Clinker</t>
        </is>
      </c>
      <c r="E37" s="34" t="inlineStr">
        <is>
          <t>MT</t>
        </is>
      </c>
      <c r="F37" s="35" t="n">
        <v>100</v>
      </c>
      <c r="G37" s="36" t="n">
        <v>140</v>
      </c>
      <c r="H37" s="35" t="n">
        <v>130</v>
      </c>
      <c r="I37" s="35" t="n">
        <v>10</v>
      </c>
      <c r="J37" s="17">
        <f>G37+I37</f>
        <v/>
      </c>
      <c r="K37" s="49">
        <f>(G37-F37)/G37</f>
        <v/>
      </c>
      <c r="L37" s="37" t="inlineStr">
        <is>
          <t>Alexandria, Egypt</t>
        </is>
      </c>
      <c r="M37" s="37" t="inlineStr">
        <is>
          <t>Istanbul, Turkey</t>
        </is>
      </c>
      <c r="N37" s="38" t="inlineStr">
        <is>
          <t>Alexandria, Egypt → Istanbul, Turkey</t>
        </is>
      </c>
      <c r="O37" s="39" t="n">
        <v>5</v>
      </c>
      <c r="P37" s="40" t="inlineStr">
        <is>
          <t>FOB</t>
        </is>
      </c>
      <c r="Q37" s="41" t="inlineStr">
        <is>
          <t>Egypt</t>
        </is>
      </c>
      <c r="R37" s="42" t="n">
        <v>0</v>
      </c>
      <c r="S37" s="25">
        <f>J37*(1+R37/100)</f>
        <v/>
      </c>
      <c r="T37" s="37" t="inlineStr">
        <is>
          <t>TT in advance</t>
        </is>
      </c>
      <c r="U37" s="43" t="n">
        <v>46169</v>
      </c>
      <c r="V37" s="43" t="n">
        <v>46199</v>
      </c>
      <c r="W37" s="27">
        <f>V37-TODAY()</f>
        <v/>
      </c>
      <c r="X37" s="44" t="n">
        <v>500</v>
      </c>
      <c r="Y37" s="45" t="n">
        <v>70000</v>
      </c>
      <c r="Z37" s="38" t="inlineStr">
        <is>
          <t>EN 197-1</t>
        </is>
      </c>
      <c r="AA37" s="39" t="inlineStr">
        <is>
          <t>SGS</t>
        </is>
      </c>
      <c r="AB37" s="30" t="inlineStr">
        <is>
          <t>✓ Yes</t>
        </is>
      </c>
    </row>
    <row r="38" ht="18" customHeight="1">
      <c r="A38" s="10" t="inlineStr">
        <is>
          <t>REF-BLD-010</t>
        </is>
      </c>
      <c r="B38" s="11" t="inlineStr">
        <is>
          <t>RBR-TUR</t>
        </is>
      </c>
      <c r="C38" s="12" t="inlineStr">
        <is>
          <t>Steel Rebar G60 Turkey</t>
        </is>
      </c>
      <c r="D38" s="48" t="inlineStr">
        <is>
          <t>Building Materials</t>
        </is>
      </c>
      <c r="E38" s="14" t="inlineStr">
        <is>
          <t>MT</t>
        </is>
      </c>
      <c r="F38" s="15" t="n">
        <v>480</v>
      </c>
      <c r="G38" s="16" t="n">
        <v>558</v>
      </c>
      <c r="H38" s="15" t="n">
        <v>540</v>
      </c>
      <c r="I38" s="15" t="n">
        <v>14</v>
      </c>
      <c r="J38" s="17">
        <f>G38+I38</f>
        <v/>
      </c>
      <c r="K38" s="46">
        <f>(G38-F38)/G38</f>
        <v/>
      </c>
      <c r="L38" s="19" t="inlineStr">
        <is>
          <t>Istanbul, Turkey</t>
        </is>
      </c>
      <c r="M38" s="19" t="inlineStr">
        <is>
          <t>Benghazi, Libya</t>
        </is>
      </c>
      <c r="N38" s="20" t="inlineStr">
        <is>
          <t>Istanbul, Turkey → Benghazi, Libya</t>
        </is>
      </c>
      <c r="O38" s="21" t="n">
        <v>5</v>
      </c>
      <c r="P38" s="22" t="inlineStr">
        <is>
          <t>FOB</t>
        </is>
      </c>
      <c r="Q38" s="23" t="inlineStr">
        <is>
          <t>Turkey</t>
        </is>
      </c>
      <c r="R38" s="24" t="n">
        <v>5</v>
      </c>
      <c r="S38" s="25">
        <f>J38*(1+R38/100)</f>
        <v/>
      </c>
      <c r="T38" s="19" t="inlineStr">
        <is>
          <t>LC at sight</t>
        </is>
      </c>
      <c r="U38" s="26" t="n">
        <v>46169</v>
      </c>
      <c r="V38" s="26" t="n">
        <v>46199</v>
      </c>
      <c r="W38" s="27">
        <f>V38-TODAY()</f>
        <v/>
      </c>
      <c r="X38" s="28" t="n">
        <v>500</v>
      </c>
      <c r="Y38" s="29" t="n">
        <v>279000</v>
      </c>
      <c r="Z38" s="20" t="inlineStr">
        <is>
          <t>ASTM A615, EN 10080</t>
        </is>
      </c>
      <c r="AA38" s="21" t="inlineStr">
        <is>
          <t>BV</t>
        </is>
      </c>
      <c r="AB38" s="30" t="inlineStr">
        <is>
          <t>✓ Yes</t>
        </is>
      </c>
    </row>
    <row r="39" ht="18" customHeight="1">
      <c r="A39" s="31" t="inlineStr">
        <is>
          <t>REF-BLD-011</t>
        </is>
      </c>
      <c r="B39" s="32" t="inlineStr">
        <is>
          <t>WRD-EGY</t>
        </is>
      </c>
      <c r="C39" s="33" t="inlineStr">
        <is>
          <t>Wire Rod SAE1008 Egypt</t>
        </is>
      </c>
      <c r="D39" s="48" t="inlineStr">
        <is>
          <t>Building Materials</t>
        </is>
      </c>
      <c r="E39" s="34" t="inlineStr">
        <is>
          <t>MT</t>
        </is>
      </c>
      <c r="F39" s="35" t="n">
        <v>470</v>
      </c>
      <c r="G39" s="36" t="n">
        <v>542</v>
      </c>
      <c r="H39" s="35" t="n">
        <v>525</v>
      </c>
      <c r="I39" s="35" t="n">
        <v>12</v>
      </c>
      <c r="J39" s="17">
        <f>G39+I39</f>
        <v/>
      </c>
      <c r="K39" s="46">
        <f>(G39-F39)/G39</f>
        <v/>
      </c>
      <c r="L39" s="37" t="inlineStr">
        <is>
          <t>Alexandria, Egypt</t>
        </is>
      </c>
      <c r="M39" s="37" t="inlineStr">
        <is>
          <t>Casablanca, Morocco</t>
        </is>
      </c>
      <c r="N39" s="38" t="inlineStr">
        <is>
          <t>Alexandria, Egypt → Casablanca, Morocco</t>
        </is>
      </c>
      <c r="O39" s="39" t="n">
        <v>7</v>
      </c>
      <c r="P39" s="40" t="inlineStr">
        <is>
          <t>FOB</t>
        </is>
      </c>
      <c r="Q39" s="41" t="inlineStr">
        <is>
          <t>Egypt</t>
        </is>
      </c>
      <c r="R39" s="42" t="n">
        <v>0</v>
      </c>
      <c r="S39" s="25">
        <f>J39*(1+R39/100)</f>
        <v/>
      </c>
      <c r="T39" s="37" t="inlineStr">
        <is>
          <t>LC at sight</t>
        </is>
      </c>
      <c r="U39" s="43" t="n">
        <v>46169</v>
      </c>
      <c r="V39" s="43" t="n">
        <v>46199</v>
      </c>
      <c r="W39" s="27">
        <f>V39-TODAY()</f>
        <v/>
      </c>
      <c r="X39" s="44" t="n">
        <v>500</v>
      </c>
      <c r="Y39" s="45" t="n">
        <v>271000</v>
      </c>
      <c r="Z39" s="38" t="inlineStr">
        <is>
          <t>ASTM A510</t>
        </is>
      </c>
      <c r="AA39" s="39" t="inlineStr">
        <is>
          <t>SGS</t>
        </is>
      </c>
      <c r="AB39" s="30" t="inlineStr">
        <is>
          <t>✓ Yes</t>
        </is>
      </c>
    </row>
    <row r="40" ht="18" customHeight="1">
      <c r="A40" s="10" t="inlineStr">
        <is>
          <t>REF-BLD-012</t>
        </is>
      </c>
      <c r="B40" s="11" t="inlineStr">
        <is>
          <t>ALU-BLT</t>
        </is>
      </c>
      <c r="C40" s="12" t="inlineStr">
        <is>
          <t>Aluminum Billet 6061 UAE</t>
        </is>
      </c>
      <c r="D40" s="48" t="inlineStr">
        <is>
          <t>Building Materials</t>
        </is>
      </c>
      <c r="E40" s="14" t="inlineStr">
        <is>
          <t>MT</t>
        </is>
      </c>
      <c r="F40" s="15" t="n">
        <v>2100</v>
      </c>
      <c r="G40" s="16" t="n">
        <v>2450</v>
      </c>
      <c r="H40" s="15" t="n">
        <v>2380</v>
      </c>
      <c r="I40" s="15" t="n">
        <v>30</v>
      </c>
      <c r="J40" s="17">
        <f>G40+I40</f>
        <v/>
      </c>
      <c r="K40" s="46">
        <f>(G40-F40)/G40</f>
        <v/>
      </c>
      <c r="L40" s="19" t="inlineStr">
        <is>
          <t>Jebel Ali, UAE</t>
        </is>
      </c>
      <c r="M40" s="19" t="inlineStr">
        <is>
          <t>Alexandria, Egypt</t>
        </is>
      </c>
      <c r="N40" s="20" t="inlineStr">
        <is>
          <t>Jebel Ali, UAE → Alexandria, Egypt</t>
        </is>
      </c>
      <c r="O40" s="21" t="n">
        <v>6</v>
      </c>
      <c r="P40" s="22" t="inlineStr">
        <is>
          <t>FOB</t>
        </is>
      </c>
      <c r="Q40" s="23" t="inlineStr">
        <is>
          <t>UAE</t>
        </is>
      </c>
      <c r="R40" s="24" t="n">
        <v>0</v>
      </c>
      <c r="S40" s="25">
        <f>J40*(1+R40/100)</f>
        <v/>
      </c>
      <c r="T40" s="19" t="inlineStr">
        <is>
          <t>TT advance / LC</t>
        </is>
      </c>
      <c r="U40" s="26" t="n">
        <v>46169</v>
      </c>
      <c r="V40" s="26" t="n">
        <v>46199</v>
      </c>
      <c r="W40" s="27">
        <f>V40-TODAY()</f>
        <v/>
      </c>
      <c r="X40" s="28" t="n">
        <v>20</v>
      </c>
      <c r="Y40" s="29" t="n">
        <v>49000</v>
      </c>
      <c r="Z40" s="20" t="inlineStr">
        <is>
          <t>EN AW-6061, ASTM B221</t>
        </is>
      </c>
      <c r="AA40" s="21" t="inlineStr">
        <is>
          <t>Intertek</t>
        </is>
      </c>
      <c r="AB40" s="30" t="inlineStr">
        <is>
          <t>✓ Yes</t>
        </is>
      </c>
    </row>
    <row r="41" ht="18" customHeight="1">
      <c r="A41" s="31" t="inlineStr">
        <is>
          <t>REF-BLD-013</t>
        </is>
      </c>
      <c r="B41" s="32" t="inlineStr">
        <is>
          <t>GYP-EGY</t>
        </is>
      </c>
      <c r="C41" s="33" t="inlineStr">
        <is>
          <t>Gypsum Board 12.5mm Egypt</t>
        </is>
      </c>
      <c r="D41" s="48" t="inlineStr">
        <is>
          <t>Building Materials</t>
        </is>
      </c>
      <c r="E41" s="34" t="inlineStr">
        <is>
          <t>m²</t>
        </is>
      </c>
      <c r="F41" s="35" t="n">
        <v>2.8</v>
      </c>
      <c r="G41" s="36" t="n">
        <v>3.6</v>
      </c>
      <c r="H41" s="35" t="n">
        <v>3.2</v>
      </c>
      <c r="I41" s="35" t="n">
        <v>0.4</v>
      </c>
      <c r="J41" s="17">
        <f>G41+I41</f>
        <v/>
      </c>
      <c r="K41" s="49">
        <f>(G41-F41)/G41</f>
        <v/>
      </c>
      <c r="L41" s="37" t="inlineStr">
        <is>
          <t>Alexandria, Egypt</t>
        </is>
      </c>
      <c r="M41" s="37" t="inlineStr">
        <is>
          <t>Tripoli, Libya</t>
        </is>
      </c>
      <c r="N41" s="38" t="inlineStr">
        <is>
          <t>Alexandria, Egypt → Tripoli, Libya</t>
        </is>
      </c>
      <c r="O41" s="39" t="n">
        <v>3</v>
      </c>
      <c r="P41" s="40" t="inlineStr">
        <is>
          <t>FOB</t>
        </is>
      </c>
      <c r="Q41" s="41" t="inlineStr">
        <is>
          <t>Egypt</t>
        </is>
      </c>
      <c r="R41" s="42" t="n">
        <v>0</v>
      </c>
      <c r="S41" s="25">
        <f>J41*(1+R41/100)</f>
        <v/>
      </c>
      <c r="T41" s="37" t="inlineStr">
        <is>
          <t>LC at sight</t>
        </is>
      </c>
      <c r="U41" s="43" t="n">
        <v>46169</v>
      </c>
      <c r="V41" s="43" t="n">
        <v>46199</v>
      </c>
      <c r="W41" s="27">
        <f>V41-TODAY()</f>
        <v/>
      </c>
      <c r="X41" s="44" t="n">
        <v>20000</v>
      </c>
      <c r="Y41" s="45" t="n">
        <v>72000</v>
      </c>
      <c r="Z41" s="38" t="inlineStr">
        <is>
          <t>ASTM C36, EN 520</t>
        </is>
      </c>
      <c r="AA41" s="39" t="inlineStr">
        <is>
          <t>None</t>
        </is>
      </c>
      <c r="AB41" s="30" t="inlineStr">
        <is>
          <t>✓ Yes</t>
        </is>
      </c>
    </row>
    <row r="42" ht="18" customHeight="1">
      <c r="A42" s="10" t="inlineStr">
        <is>
          <t>REF-BLD-014</t>
        </is>
      </c>
      <c r="B42" s="11" t="inlineStr">
        <is>
          <t>GYP-KSA</t>
        </is>
      </c>
      <c r="C42" s="12" t="inlineStr">
        <is>
          <t>Gypsum Board 12.5mm Saudi</t>
        </is>
      </c>
      <c r="D42" s="48" t="inlineStr">
        <is>
          <t>Building Materials</t>
        </is>
      </c>
      <c r="E42" s="14" t="inlineStr">
        <is>
          <t>m²</t>
        </is>
      </c>
      <c r="F42" s="15" t="n">
        <v>3</v>
      </c>
      <c r="G42" s="16" t="n">
        <v>3.8</v>
      </c>
      <c r="H42" s="15" t="n">
        <v>3.5</v>
      </c>
      <c r="I42" s="15" t="n">
        <v>0.5</v>
      </c>
      <c r="J42" s="17">
        <f>G42+I42</f>
        <v/>
      </c>
      <c r="K42" s="49">
        <f>(G42-F42)/G42</f>
        <v/>
      </c>
      <c r="L42" s="19" t="inlineStr">
        <is>
          <t>Jeddah, Saudi Arabia</t>
        </is>
      </c>
      <c r="M42" s="19" t="inlineStr">
        <is>
          <t>Aqaba, Jordan</t>
        </is>
      </c>
      <c r="N42" s="20" t="inlineStr">
        <is>
          <t>Jeddah, Saudi Arabia → Aqaba, Jordan</t>
        </is>
      </c>
      <c r="O42" s="21" t="n">
        <v>4</v>
      </c>
      <c r="P42" s="22" t="inlineStr">
        <is>
          <t>FOB</t>
        </is>
      </c>
      <c r="Q42" s="23" t="inlineStr">
        <is>
          <t>Saudi Arabia</t>
        </is>
      </c>
      <c r="R42" s="24" t="n">
        <v>0</v>
      </c>
      <c r="S42" s="25">
        <f>J42*(1+R42/100)</f>
        <v/>
      </c>
      <c r="T42" s="19" t="inlineStr">
        <is>
          <t>LC at sight</t>
        </is>
      </c>
      <c r="U42" s="26" t="n">
        <v>46169</v>
      </c>
      <c r="V42" s="26" t="n">
        <v>46199</v>
      </c>
      <c r="W42" s="27">
        <f>V42-TODAY()</f>
        <v/>
      </c>
      <c r="X42" s="28" t="n">
        <v>20000</v>
      </c>
      <c r="Y42" s="29" t="n">
        <v>76000</v>
      </c>
      <c r="Z42" s="20" t="inlineStr">
        <is>
          <t>ASTM C36, SASO</t>
        </is>
      </c>
      <c r="AA42" s="21" t="inlineStr">
        <is>
          <t>None</t>
        </is>
      </c>
      <c r="AB42" s="30" t="inlineStr">
        <is>
          <t>✓ Yes</t>
        </is>
      </c>
    </row>
    <row r="43" ht="18" customHeight="1">
      <c r="A43" s="31" t="inlineStr">
        <is>
          <t>REF-BLD-015</t>
        </is>
      </c>
      <c r="B43" s="32" t="inlineStr">
        <is>
          <t>GLS-KSA</t>
        </is>
      </c>
      <c r="C43" s="33" t="inlineStr">
        <is>
          <t>Float Glass 6mm Saudi</t>
        </is>
      </c>
      <c r="D43" s="48" t="inlineStr">
        <is>
          <t>Building Materials</t>
        </is>
      </c>
      <c r="E43" s="34" t="inlineStr">
        <is>
          <t>m²</t>
        </is>
      </c>
      <c r="F43" s="35" t="n">
        <v>7.2</v>
      </c>
      <c r="G43" s="36" t="n">
        <v>10.5</v>
      </c>
      <c r="H43" s="35" t="n">
        <v>9</v>
      </c>
      <c r="I43" s="35" t="n">
        <v>1.2</v>
      </c>
      <c r="J43" s="17">
        <f>G43+I43</f>
        <v/>
      </c>
      <c r="K43" s="49">
        <f>(G43-F43)/G43</f>
        <v/>
      </c>
      <c r="L43" s="37" t="inlineStr">
        <is>
          <t>Jeddah, Saudi Arabia</t>
        </is>
      </c>
      <c r="M43" s="37" t="inlineStr">
        <is>
          <t>Muscat, Oman</t>
        </is>
      </c>
      <c r="N43" s="38" t="inlineStr">
        <is>
          <t>Jeddah, Saudi Arabia → Muscat, Oman</t>
        </is>
      </c>
      <c r="O43" s="39" t="n">
        <v>5</v>
      </c>
      <c r="P43" s="47" t="inlineStr">
        <is>
          <t>CIF</t>
        </is>
      </c>
      <c r="Q43" s="41" t="inlineStr">
        <is>
          <t>Saudi Arabia</t>
        </is>
      </c>
      <c r="R43" s="42" t="n">
        <v>0</v>
      </c>
      <c r="S43" s="25">
        <f>J43*(1+R43/100)</f>
        <v/>
      </c>
      <c r="T43" s="37" t="inlineStr">
        <is>
          <t>LC 30 days</t>
        </is>
      </c>
      <c r="U43" s="43" t="n">
        <v>46169</v>
      </c>
      <c r="V43" s="43" t="n">
        <v>46199</v>
      </c>
      <c r="W43" s="27">
        <f>V43-TODAY()</f>
        <v/>
      </c>
      <c r="X43" s="44" t="n">
        <v>500</v>
      </c>
      <c r="Y43" s="45" t="n">
        <v>5250</v>
      </c>
      <c r="Z43" s="38" t="inlineStr">
        <is>
          <t>EN 572, ASTM C1036</t>
        </is>
      </c>
      <c r="AA43" s="39" t="inlineStr">
        <is>
          <t>None</t>
        </is>
      </c>
      <c r="AB43" s="30" t="inlineStr">
        <is>
          <t>✓ Yes</t>
        </is>
      </c>
    </row>
    <row r="44" ht="18" customHeight="1">
      <c r="A44" s="10" t="inlineStr">
        <is>
          <t>REF-BLD-016</t>
        </is>
      </c>
      <c r="B44" s="11" t="inlineStr">
        <is>
          <t>TLE-TUR</t>
        </is>
      </c>
      <c r="C44" s="12" t="inlineStr">
        <is>
          <t>Porcelain Tile 60×60 Turkey</t>
        </is>
      </c>
      <c r="D44" s="48" t="inlineStr">
        <is>
          <t>Building Materials</t>
        </is>
      </c>
      <c r="E44" s="14" t="inlineStr">
        <is>
          <t>m²</t>
        </is>
      </c>
      <c r="F44" s="15" t="n">
        <v>4.2</v>
      </c>
      <c r="G44" s="16" t="n">
        <v>7.5</v>
      </c>
      <c r="H44" s="15" t="n">
        <v>5.5</v>
      </c>
      <c r="I44" s="15" t="n">
        <v>1</v>
      </c>
      <c r="J44" s="17">
        <f>G44+I44</f>
        <v/>
      </c>
      <c r="K44" s="49">
        <f>(G44-F44)/G44</f>
        <v/>
      </c>
      <c r="L44" s="19" t="inlineStr">
        <is>
          <t>Istanbul, Turkey</t>
        </is>
      </c>
      <c r="M44" s="19" t="inlineStr">
        <is>
          <t>Alexandria, Egypt</t>
        </is>
      </c>
      <c r="N44" s="20" t="inlineStr">
        <is>
          <t>Istanbul, Turkey → Alexandria, Egypt</t>
        </is>
      </c>
      <c r="O44" s="21" t="n">
        <v>6</v>
      </c>
      <c r="P44" s="22" t="inlineStr">
        <is>
          <t>FOB</t>
        </is>
      </c>
      <c r="Q44" s="23" t="inlineStr">
        <is>
          <t>Turkey</t>
        </is>
      </c>
      <c r="R44" s="24" t="n">
        <v>5</v>
      </c>
      <c r="S44" s="25">
        <f>J44*(1+R44/100)</f>
        <v/>
      </c>
      <c r="T44" s="19" t="inlineStr">
        <is>
          <t>LC 60 days</t>
        </is>
      </c>
      <c r="U44" s="26" t="n">
        <v>46169</v>
      </c>
      <c r="V44" s="26" t="n">
        <v>46199</v>
      </c>
      <c r="W44" s="27">
        <f>V44-TODAY()</f>
        <v/>
      </c>
      <c r="X44" s="28" t="n">
        <v>500</v>
      </c>
      <c r="Y44" s="29" t="n">
        <v>3750</v>
      </c>
      <c r="Z44" s="20" t="inlineStr">
        <is>
          <t>ISO 13006, CE</t>
        </is>
      </c>
      <c r="AA44" s="21" t="inlineStr">
        <is>
          <t>None</t>
        </is>
      </c>
      <c r="AB44" s="30" t="inlineStr">
        <is>
          <t>✓ Yes</t>
        </is>
      </c>
    </row>
    <row r="45" ht="18" customHeight="1">
      <c r="A45" s="31" t="inlineStr">
        <is>
          <t>REF-BLD-017</t>
        </is>
      </c>
      <c r="B45" s="32" t="inlineStr">
        <is>
          <t>MRB-EGY</t>
        </is>
      </c>
      <c r="C45" s="33" t="inlineStr">
        <is>
          <t>Marble Slab Galala Cream</t>
        </is>
      </c>
      <c r="D45" s="48" t="inlineStr">
        <is>
          <t>Building Materials</t>
        </is>
      </c>
      <c r="E45" s="34" t="inlineStr">
        <is>
          <t>m²</t>
        </is>
      </c>
      <c r="F45" s="35" t="n">
        <v>14</v>
      </c>
      <c r="G45" s="36" t="n">
        <v>26</v>
      </c>
      <c r="H45" s="35" t="n">
        <v>18</v>
      </c>
      <c r="I45" s="35" t="n">
        <v>2.5</v>
      </c>
      <c r="J45" s="17">
        <f>G45+I45</f>
        <v/>
      </c>
      <c r="K45" s="49">
        <f>(G45-F45)/G45</f>
        <v/>
      </c>
      <c r="L45" s="37" t="inlineStr">
        <is>
          <t>Alexandria, Egypt</t>
        </is>
      </c>
      <c r="M45" s="37" t="inlineStr">
        <is>
          <t>Jebel Ali, UAE</t>
        </is>
      </c>
      <c r="N45" s="38" t="inlineStr">
        <is>
          <t>Alexandria, Egypt → Jebel Ali, UAE</t>
        </is>
      </c>
      <c r="O45" s="39" t="n">
        <v>7</v>
      </c>
      <c r="P45" s="40" t="inlineStr">
        <is>
          <t>FOB</t>
        </is>
      </c>
      <c r="Q45" s="41" t="inlineStr">
        <is>
          <t>Egypt</t>
        </is>
      </c>
      <c r="R45" s="42" t="n">
        <v>0</v>
      </c>
      <c r="S45" s="25">
        <f>J45*(1+R45/100)</f>
        <v/>
      </c>
      <c r="T45" s="37" t="inlineStr">
        <is>
          <t>TT advance / LC</t>
        </is>
      </c>
      <c r="U45" s="43" t="n">
        <v>46169</v>
      </c>
      <c r="V45" s="43" t="n">
        <v>46199</v>
      </c>
      <c r="W45" s="27">
        <f>V45-TODAY()</f>
        <v/>
      </c>
      <c r="X45" s="44" t="n">
        <v>50</v>
      </c>
      <c r="Y45" s="45" t="n">
        <v>1300</v>
      </c>
      <c r="Z45" s="38" t="inlineStr">
        <is>
          <t>ISO 1341</t>
        </is>
      </c>
      <c r="AA45" s="39" t="inlineStr">
        <is>
          <t>None</t>
        </is>
      </c>
      <c r="AB45" s="30" t="inlineStr">
        <is>
          <t>✓ Yes</t>
        </is>
      </c>
    </row>
    <row r="46" ht="18" customHeight="1">
      <c r="A46" s="10" t="inlineStr">
        <is>
          <t>REF-BLD-018</t>
        </is>
      </c>
      <c r="B46" s="11" t="inlineStr">
        <is>
          <t>MRB-TUR</t>
        </is>
      </c>
      <c r="C46" s="12" t="inlineStr">
        <is>
          <t>Marble Slab Afyon White</t>
        </is>
      </c>
      <c r="D46" s="48" t="inlineStr">
        <is>
          <t>Building Materials</t>
        </is>
      </c>
      <c r="E46" s="14" t="inlineStr">
        <is>
          <t>m²</t>
        </is>
      </c>
      <c r="F46" s="15" t="n">
        <v>20</v>
      </c>
      <c r="G46" s="16" t="n">
        <v>42</v>
      </c>
      <c r="H46" s="15" t="n">
        <v>28</v>
      </c>
      <c r="I46" s="15" t="n">
        <v>3</v>
      </c>
      <c r="J46" s="17">
        <f>G46+I46</f>
        <v/>
      </c>
      <c r="K46" s="49">
        <f>(G46-F46)/G46</f>
        <v/>
      </c>
      <c r="L46" s="19" t="inlineStr">
        <is>
          <t>Izmir, Turkey</t>
        </is>
      </c>
      <c r="M46" s="19" t="inlineStr">
        <is>
          <t>Jebel Ali, UAE</t>
        </is>
      </c>
      <c r="N46" s="20" t="inlineStr">
        <is>
          <t>Izmir, Turkey → Jebel Ali, UAE</t>
        </is>
      </c>
      <c r="O46" s="21" t="n">
        <v>8</v>
      </c>
      <c r="P46" s="22" t="inlineStr">
        <is>
          <t>FOB</t>
        </is>
      </c>
      <c r="Q46" s="23" t="inlineStr">
        <is>
          <t>Turkey</t>
        </is>
      </c>
      <c r="R46" s="24" t="n">
        <v>0</v>
      </c>
      <c r="S46" s="25">
        <f>J46*(1+R46/100)</f>
        <v/>
      </c>
      <c r="T46" s="19" t="inlineStr">
        <is>
          <t>TT advance / LC</t>
        </is>
      </c>
      <c r="U46" s="26" t="n">
        <v>46169</v>
      </c>
      <c r="V46" s="26" t="n">
        <v>46199</v>
      </c>
      <c r="W46" s="27">
        <f>V46-TODAY()</f>
        <v/>
      </c>
      <c r="X46" s="28" t="n">
        <v>50</v>
      </c>
      <c r="Y46" s="29" t="n">
        <v>2100</v>
      </c>
      <c r="Z46" s="20" t="inlineStr">
        <is>
          <t>ISO 1341</t>
        </is>
      </c>
      <c r="AA46" s="21" t="inlineStr">
        <is>
          <t>None</t>
        </is>
      </c>
      <c r="AB46" s="30" t="inlineStr">
        <is>
          <t>✓ Yes</t>
        </is>
      </c>
    </row>
    <row r="47" ht="18" customHeight="1">
      <c r="A47" s="31" t="inlineStr">
        <is>
          <t>REF-BLD-019</t>
        </is>
      </c>
      <c r="B47" s="32" t="inlineStr">
        <is>
          <t>RCW-TUR</t>
        </is>
      </c>
      <c r="C47" s="33" t="inlineStr">
        <is>
          <t>Rock Wool Insulation 100kg/m³</t>
        </is>
      </c>
      <c r="D47" s="48" t="inlineStr">
        <is>
          <t>Building Materials</t>
        </is>
      </c>
      <c r="E47" s="34" t="inlineStr">
        <is>
          <t>MT</t>
        </is>
      </c>
      <c r="F47" s="35" t="n">
        <v>220</v>
      </c>
      <c r="G47" s="36" t="n">
        <v>360</v>
      </c>
      <c r="H47" s="35" t="n">
        <v>280</v>
      </c>
      <c r="I47" s="35" t="n">
        <v>18</v>
      </c>
      <c r="J47" s="17">
        <f>G47+I47</f>
        <v/>
      </c>
      <c r="K47" s="49">
        <f>(G47-F47)/G47</f>
        <v/>
      </c>
      <c r="L47" s="37" t="inlineStr">
        <is>
          <t>Istanbul, Turkey</t>
        </is>
      </c>
      <c r="M47" s="37" t="inlineStr">
        <is>
          <t>Jeddah, Saudi Arabia</t>
        </is>
      </c>
      <c r="N47" s="38" t="inlineStr">
        <is>
          <t>Istanbul, Turkey → Jeddah, Saudi Arabia</t>
        </is>
      </c>
      <c r="O47" s="39" t="n">
        <v>7</v>
      </c>
      <c r="P47" s="40" t="inlineStr">
        <is>
          <t>FOB</t>
        </is>
      </c>
      <c r="Q47" s="41" t="inlineStr">
        <is>
          <t>Turkey</t>
        </is>
      </c>
      <c r="R47" s="42" t="n">
        <v>0</v>
      </c>
      <c r="S47" s="25">
        <f>J47*(1+R47/100)</f>
        <v/>
      </c>
      <c r="T47" s="37" t="inlineStr">
        <is>
          <t>LC at sight</t>
        </is>
      </c>
      <c r="U47" s="43" t="n">
        <v>46169</v>
      </c>
      <c r="V47" s="43" t="n">
        <v>46199</v>
      </c>
      <c r="W47" s="27">
        <f>V47-TODAY()</f>
        <v/>
      </c>
      <c r="X47" s="44" t="n">
        <v>20</v>
      </c>
      <c r="Y47" s="45" t="n">
        <v>7200</v>
      </c>
      <c r="Z47" s="38" t="inlineStr">
        <is>
          <t>EN 13162, A1 non-combustible</t>
        </is>
      </c>
      <c r="AA47" s="39" t="inlineStr">
        <is>
          <t>None</t>
        </is>
      </c>
      <c r="AB47" s="30" t="inlineStr">
        <is>
          <t>✓ Yes</t>
        </is>
      </c>
    </row>
    <row r="48" ht="18" customHeight="1">
      <c r="A48" s="10" t="inlineStr">
        <is>
          <t>REF-BLD-020</t>
        </is>
      </c>
      <c r="B48" s="11" t="inlineStr">
        <is>
          <t>AGG-ALG</t>
        </is>
      </c>
      <c r="C48" s="12" t="inlineStr">
        <is>
          <t>Aggregates Limestone 3/4" Algeria</t>
        </is>
      </c>
      <c r="D48" s="48" t="inlineStr">
        <is>
          <t>Building Materials</t>
        </is>
      </c>
      <c r="E48" s="14" t="inlineStr">
        <is>
          <t>MT</t>
        </is>
      </c>
      <c r="F48" s="15" t="n">
        <v>5</v>
      </c>
      <c r="G48" s="16" t="n">
        <v>9</v>
      </c>
      <c r="H48" s="15" t="n">
        <v>6</v>
      </c>
      <c r="I48" s="15" t="n">
        <v>2</v>
      </c>
      <c r="J48" s="17">
        <f>G48+I48</f>
        <v/>
      </c>
      <c r="K48" s="49">
        <f>(G48-F48)/G48</f>
        <v/>
      </c>
      <c r="L48" s="19" t="inlineStr">
        <is>
          <t>Annaba, Algeria</t>
        </is>
      </c>
      <c r="M48" s="19" t="inlineStr">
        <is>
          <t>Tripoli, Libya</t>
        </is>
      </c>
      <c r="N48" s="20" t="inlineStr">
        <is>
          <t>Annaba, Algeria → Tripoli, Libya</t>
        </is>
      </c>
      <c r="O48" s="21" t="n">
        <v>4</v>
      </c>
      <c r="P48" s="22" t="inlineStr">
        <is>
          <t>FOB</t>
        </is>
      </c>
      <c r="Q48" s="23" t="inlineStr">
        <is>
          <t>Algeria</t>
        </is>
      </c>
      <c r="R48" s="24" t="n">
        <v>0</v>
      </c>
      <c r="S48" s="25">
        <f>J48*(1+R48/100)</f>
        <v/>
      </c>
      <c r="T48" s="19" t="inlineStr">
        <is>
          <t>TT in advance</t>
        </is>
      </c>
      <c r="U48" s="26" t="n">
        <v>46169</v>
      </c>
      <c r="V48" s="26" t="n">
        <v>46199</v>
      </c>
      <c r="W48" s="27">
        <f>V48-TODAY()</f>
        <v/>
      </c>
      <c r="X48" s="28" t="n">
        <v>5000</v>
      </c>
      <c r="Y48" s="29" t="n">
        <v>45000</v>
      </c>
      <c r="Z48" s="20" t="inlineStr">
        <is>
          <t>ASTM C33</t>
        </is>
      </c>
      <c r="AA48" s="21" t="inlineStr">
        <is>
          <t>None</t>
        </is>
      </c>
      <c r="AB48" s="30" t="inlineStr">
        <is>
          <t>✓ Yes</t>
        </is>
      </c>
    </row>
    <row r="49" ht="18" customHeight="1">
      <c r="A49" s="31" t="inlineStr">
        <is>
          <t>REF-BLD-021</t>
        </is>
      </c>
      <c r="B49" s="32" t="inlineStr">
        <is>
          <t>HDPE-PP</t>
        </is>
      </c>
      <c r="C49" s="33" t="inlineStr">
        <is>
          <t>HDPE Pipe PE100 SDR11 Saudi</t>
        </is>
      </c>
      <c r="D49" s="48" t="inlineStr">
        <is>
          <t>Building Materials</t>
        </is>
      </c>
      <c r="E49" s="34" t="inlineStr">
        <is>
          <t>m</t>
        </is>
      </c>
      <c r="F49" s="35" t="n">
        <v>1</v>
      </c>
      <c r="G49" s="36" t="n">
        <v>2.8</v>
      </c>
      <c r="H49" s="35" t="n">
        <v>1.2</v>
      </c>
      <c r="I49" s="35" t="n">
        <v>0.2</v>
      </c>
      <c r="J49" s="17">
        <f>G49+I49</f>
        <v/>
      </c>
      <c r="K49" s="49">
        <f>(G49-F49)/G49</f>
        <v/>
      </c>
      <c r="L49" s="37" t="inlineStr">
        <is>
          <t>Jeddah, Saudi Arabia</t>
        </is>
      </c>
      <c r="M49" s="37" t="inlineStr">
        <is>
          <t>Basra, Iraq</t>
        </is>
      </c>
      <c r="N49" s="38" t="inlineStr">
        <is>
          <t>Jeddah, Saudi Arabia → Basra, Iraq</t>
        </is>
      </c>
      <c r="O49" s="39" t="n">
        <v>7</v>
      </c>
      <c r="P49" s="40" t="inlineStr">
        <is>
          <t>FOB</t>
        </is>
      </c>
      <c r="Q49" s="41" t="inlineStr">
        <is>
          <t>Saudi Arabia</t>
        </is>
      </c>
      <c r="R49" s="42" t="n">
        <v>5</v>
      </c>
      <c r="S49" s="25">
        <f>J49*(1+R49/100)</f>
        <v/>
      </c>
      <c r="T49" s="37" t="inlineStr">
        <is>
          <t>LC at sight</t>
        </is>
      </c>
      <c r="U49" s="43" t="n">
        <v>46169</v>
      </c>
      <c r="V49" s="43" t="n">
        <v>46199</v>
      </c>
      <c r="W49" s="27">
        <f>V49-TODAY()</f>
        <v/>
      </c>
      <c r="X49" s="44" t="n">
        <v>2000</v>
      </c>
      <c r="Y49" s="45" t="n">
        <v>5600</v>
      </c>
      <c r="Z49" s="38" t="inlineStr">
        <is>
          <t>ISO 4427, ASTM F714</t>
        </is>
      </c>
      <c r="AA49" s="39" t="inlineStr">
        <is>
          <t>None</t>
        </is>
      </c>
      <c r="AB49" s="30" t="inlineStr">
        <is>
          <t>✓ Yes</t>
        </is>
      </c>
    </row>
    <row r="50" ht="18" customHeight="1">
      <c r="A50" s="10" t="inlineStr">
        <is>
          <t>REF-BLD-022</t>
        </is>
      </c>
      <c r="B50" s="11" t="inlineStr">
        <is>
          <t>CBL-UAE</t>
        </is>
      </c>
      <c r="C50" s="12" t="inlineStr">
        <is>
          <t>Copper Electrical Cable 16mm²</t>
        </is>
      </c>
      <c r="D50" s="48" t="inlineStr">
        <is>
          <t>Building Materials</t>
        </is>
      </c>
      <c r="E50" s="14" t="inlineStr">
        <is>
          <t>m</t>
        </is>
      </c>
      <c r="F50" s="15" t="n">
        <v>3.2</v>
      </c>
      <c r="G50" s="16" t="n">
        <v>5.8</v>
      </c>
      <c r="H50" s="15" t="n">
        <v>4.2</v>
      </c>
      <c r="I50" s="15" t="n">
        <v>0.3</v>
      </c>
      <c r="J50" s="17">
        <f>G50+I50</f>
        <v/>
      </c>
      <c r="K50" s="49">
        <f>(G50-F50)/G50</f>
        <v/>
      </c>
      <c r="L50" s="19" t="inlineStr">
        <is>
          <t>Jebel Ali, UAE</t>
        </is>
      </c>
      <c r="M50" s="19" t="inlineStr">
        <is>
          <t>Alexandria, Egypt</t>
        </is>
      </c>
      <c r="N50" s="20" t="inlineStr">
        <is>
          <t>Jebel Ali, UAE → Alexandria, Egypt</t>
        </is>
      </c>
      <c r="O50" s="21" t="n">
        <v>6</v>
      </c>
      <c r="P50" s="50" t="inlineStr">
        <is>
          <t>DAP</t>
        </is>
      </c>
      <c r="Q50" s="23" t="inlineStr">
        <is>
          <t>UAE</t>
        </is>
      </c>
      <c r="R50" s="24" t="n">
        <v>5</v>
      </c>
      <c r="S50" s="25">
        <f>J50*(1+R50/100)</f>
        <v/>
      </c>
      <c r="T50" s="19" t="inlineStr">
        <is>
          <t>LC at sight</t>
        </is>
      </c>
      <c r="U50" s="26" t="n">
        <v>46169</v>
      </c>
      <c r="V50" s="26" t="n">
        <v>46199</v>
      </c>
      <c r="W50" s="27">
        <f>V50-TODAY()</f>
        <v/>
      </c>
      <c r="X50" s="28" t="n">
        <v>500</v>
      </c>
      <c r="Y50" s="29" t="n">
        <v>2900</v>
      </c>
      <c r="Z50" s="20" t="inlineStr">
        <is>
          <t>IEC 60228, BS 7671</t>
        </is>
      </c>
      <c r="AA50" s="21" t="inlineStr">
        <is>
          <t>None</t>
        </is>
      </c>
      <c r="AB50" s="30" t="inlineStr">
        <is>
          <t>✓ Yes</t>
        </is>
      </c>
    </row>
    <row r="51" ht="18" customHeight="1">
      <c r="A51" s="31" t="inlineStr">
        <is>
          <t>REF-MIN-001</t>
        </is>
      </c>
      <c r="B51" s="32" t="inlineStr">
        <is>
          <t>PHO-KSA</t>
        </is>
      </c>
      <c r="C51" s="33" t="inlineStr">
        <is>
          <t>Phosphate Rock BPL 68% Saudi</t>
        </is>
      </c>
      <c r="D51" s="57" t="inlineStr">
        <is>
          <t>Critical Minerals</t>
        </is>
      </c>
      <c r="E51" s="34" t="inlineStr">
        <is>
          <t>MT</t>
        </is>
      </c>
      <c r="F51" s="35" t="n">
        <v>58</v>
      </c>
      <c r="G51" s="36" t="n">
        <v>95</v>
      </c>
      <c r="H51" s="35" t="n">
        <v>70</v>
      </c>
      <c r="I51" s="35" t="n">
        <v>8</v>
      </c>
      <c r="J51" s="17">
        <f>G51+I51</f>
        <v/>
      </c>
      <c r="K51" s="49">
        <f>(G51-F51)/G51</f>
        <v/>
      </c>
      <c r="L51" s="37" t="inlineStr">
        <is>
          <t>Yanbu, Saudi Arabia</t>
        </is>
      </c>
      <c r="M51" s="37" t="inlineStr">
        <is>
          <t>Mumbai, India</t>
        </is>
      </c>
      <c r="N51" s="38" t="inlineStr">
        <is>
          <t>Yanbu, Saudi Arabia → Mumbai, India</t>
        </is>
      </c>
      <c r="O51" s="39" t="n">
        <v>10</v>
      </c>
      <c r="P51" s="40" t="inlineStr">
        <is>
          <t>FOB</t>
        </is>
      </c>
      <c r="Q51" s="41" t="inlineStr">
        <is>
          <t>Saudi Arabia</t>
        </is>
      </c>
      <c r="R51" s="42" t="n">
        <v>0</v>
      </c>
      <c r="S51" s="25">
        <f>J51*(1+R51/100)</f>
        <v/>
      </c>
      <c r="T51" s="37" t="inlineStr">
        <is>
          <t>LC at sight</t>
        </is>
      </c>
      <c r="U51" s="43" t="n">
        <v>46169</v>
      </c>
      <c r="V51" s="43" t="n">
        <v>46199</v>
      </c>
      <c r="W51" s="27">
        <f>V51-TODAY()</f>
        <v/>
      </c>
      <c r="X51" s="44" t="n">
        <v>10000</v>
      </c>
      <c r="Y51" s="45" t="n">
        <v>950000</v>
      </c>
      <c r="Z51" s="38" t="inlineStr">
        <is>
          <t>ISO 9001, HACCP</t>
        </is>
      </c>
      <c r="AA51" s="39" t="inlineStr">
        <is>
          <t>SGS</t>
        </is>
      </c>
      <c r="AB51" s="30" t="inlineStr">
        <is>
          <t>✓ Yes</t>
        </is>
      </c>
    </row>
    <row r="52" ht="18" customHeight="1">
      <c r="A52" s="10" t="inlineStr">
        <is>
          <t>REF-MIN-001</t>
        </is>
      </c>
      <c r="B52" s="11" t="inlineStr">
        <is>
          <t>PHO-EGY</t>
        </is>
      </c>
      <c r="C52" s="12" t="inlineStr">
        <is>
          <t>Phosphate Rock BPL 70% Egypt</t>
        </is>
      </c>
      <c r="D52" s="57" t="inlineStr">
        <is>
          <t>Critical Minerals</t>
        </is>
      </c>
      <c r="E52" s="14" t="inlineStr">
        <is>
          <t>MT</t>
        </is>
      </c>
      <c r="F52" s="15" t="n">
        <v>55</v>
      </c>
      <c r="G52" s="16" t="n">
        <v>90</v>
      </c>
      <c r="H52" s="15" t="n">
        <v>68</v>
      </c>
      <c r="I52" s="15" t="n">
        <v>7</v>
      </c>
      <c r="J52" s="17">
        <f>G52+I52</f>
        <v/>
      </c>
      <c r="K52" s="49">
        <f>(G52-F52)/G52</f>
        <v/>
      </c>
      <c r="L52" s="19" t="inlineStr">
        <is>
          <t>Sokhna, Egypt</t>
        </is>
      </c>
      <c r="M52" s="19" t="inlineStr">
        <is>
          <t>Chennai, India</t>
        </is>
      </c>
      <c r="N52" s="20" t="inlineStr">
        <is>
          <t>Sokhna, Egypt → Chennai, India</t>
        </is>
      </c>
      <c r="O52" s="21" t="n">
        <v>12</v>
      </c>
      <c r="P52" s="22" t="inlineStr">
        <is>
          <t>FOB</t>
        </is>
      </c>
      <c r="Q52" s="23" t="inlineStr">
        <is>
          <t>Egypt</t>
        </is>
      </c>
      <c r="R52" s="24" t="n">
        <v>0</v>
      </c>
      <c r="S52" s="25">
        <f>J52*(1+R52/100)</f>
        <v/>
      </c>
      <c r="T52" s="19" t="inlineStr">
        <is>
          <t>LC at sight</t>
        </is>
      </c>
      <c r="U52" s="26" t="n">
        <v>46169</v>
      </c>
      <c r="V52" s="26" t="n">
        <v>46199</v>
      </c>
      <c r="W52" s="27">
        <f>V52-TODAY()</f>
        <v/>
      </c>
      <c r="X52" s="28" t="n">
        <v>10000</v>
      </c>
      <c r="Y52" s="29" t="n">
        <v>900000</v>
      </c>
      <c r="Z52" s="20" t="inlineStr">
        <is>
          <t>ISO 9001</t>
        </is>
      </c>
      <c r="AA52" s="21" t="inlineStr">
        <is>
          <t>SGS</t>
        </is>
      </c>
      <c r="AB52" s="30" t="inlineStr">
        <is>
          <t>✓ Yes</t>
        </is>
      </c>
    </row>
    <row r="53" ht="18" customHeight="1">
      <c r="A53" s="31" t="inlineStr">
        <is>
          <t>REF-MIN-002</t>
        </is>
      </c>
      <c r="B53" s="32" t="inlineStr">
        <is>
          <t>IRN-ALG</t>
        </is>
      </c>
      <c r="C53" s="33" t="inlineStr">
        <is>
          <t>Iron Ore Fe 58% Algeria</t>
        </is>
      </c>
      <c r="D53" s="57" t="inlineStr">
        <is>
          <t>Critical Minerals</t>
        </is>
      </c>
      <c r="E53" s="34" t="inlineStr">
        <is>
          <t>MT</t>
        </is>
      </c>
      <c r="F53" s="35" t="n">
        <v>72</v>
      </c>
      <c r="G53" s="36" t="n">
        <v>98</v>
      </c>
      <c r="H53" s="35" t="n">
        <v>95</v>
      </c>
      <c r="I53" s="35" t="n">
        <v>10</v>
      </c>
      <c r="J53" s="17">
        <f>G53+I53</f>
        <v/>
      </c>
      <c r="K53" s="49">
        <f>(G53-F53)/G53</f>
        <v/>
      </c>
      <c r="L53" s="37" t="inlineStr">
        <is>
          <t>Annaba, Algeria</t>
        </is>
      </c>
      <c r="M53" s="37" t="inlineStr">
        <is>
          <t>Dunkirk, France</t>
        </is>
      </c>
      <c r="N53" s="38" t="inlineStr">
        <is>
          <t>Annaba, Algeria → Dunkirk, France</t>
        </is>
      </c>
      <c r="O53" s="39" t="n">
        <v>10</v>
      </c>
      <c r="P53" s="40" t="inlineStr">
        <is>
          <t>FOB</t>
        </is>
      </c>
      <c r="Q53" s="41" t="inlineStr">
        <is>
          <t>Algeria</t>
        </is>
      </c>
      <c r="R53" s="42" t="n">
        <v>0</v>
      </c>
      <c r="S53" s="25">
        <f>J53*(1+R53/100)</f>
        <v/>
      </c>
      <c r="T53" s="37" t="inlineStr">
        <is>
          <t>LC at sight</t>
        </is>
      </c>
      <c r="U53" s="43" t="n">
        <v>46169</v>
      </c>
      <c r="V53" s="43" t="n">
        <v>46199</v>
      </c>
      <c r="W53" s="27">
        <f>V53-TODAY()</f>
        <v/>
      </c>
      <c r="X53" s="44" t="n">
        <v>25000</v>
      </c>
      <c r="Y53" s="45" t="n">
        <v>2450000</v>
      </c>
      <c r="Z53" s="38" t="inlineStr">
        <is>
          <t>ISO 9001, EN</t>
        </is>
      </c>
      <c r="AA53" s="39" t="inlineStr">
        <is>
          <t>BV</t>
        </is>
      </c>
      <c r="AB53" s="30" t="inlineStr">
        <is>
          <t>✓ Yes</t>
        </is>
      </c>
    </row>
    <row r="54" ht="18" customHeight="1">
      <c r="A54" s="10" t="inlineStr">
        <is>
          <t>REF-MIN-003</t>
        </is>
      </c>
      <c r="B54" s="11" t="inlineStr">
        <is>
          <t>CPR-KSA</t>
        </is>
      </c>
      <c r="C54" s="12" t="inlineStr">
        <is>
          <t>Copper Concentrate 25% Saudi</t>
        </is>
      </c>
      <c r="D54" s="57" t="inlineStr">
        <is>
          <t>Critical Minerals</t>
        </is>
      </c>
      <c r="E54" s="14" t="inlineStr">
        <is>
          <t>DMT</t>
        </is>
      </c>
      <c r="F54" s="15" t="n">
        <v>850</v>
      </c>
      <c r="G54" s="16" t="n">
        <v>1350</v>
      </c>
      <c r="H54" s="15" t="n">
        <v>1100</v>
      </c>
      <c r="I54" s="15" t="n">
        <v>45</v>
      </c>
      <c r="J54" s="17">
        <f>G54+I54</f>
        <v/>
      </c>
      <c r="K54" s="49">
        <f>(G54-F54)/G54</f>
        <v/>
      </c>
      <c r="L54" s="19" t="inlineStr">
        <is>
          <t>Yanbu, Saudi Arabia</t>
        </is>
      </c>
      <c r="M54" s="19" t="inlineStr">
        <is>
          <t>Hamburg, Germany</t>
        </is>
      </c>
      <c r="N54" s="20" t="inlineStr">
        <is>
          <t>Yanbu, Saudi Arabia → Hamburg, Germany</t>
        </is>
      </c>
      <c r="O54" s="21" t="n">
        <v>12</v>
      </c>
      <c r="P54" s="52" t="inlineStr">
        <is>
          <t>CIF</t>
        </is>
      </c>
      <c r="Q54" s="23" t="inlineStr">
        <is>
          <t>Saudi Arabia</t>
        </is>
      </c>
      <c r="R54" s="24" t="n">
        <v>0</v>
      </c>
      <c r="S54" s="25">
        <f>J54*(1+R54/100)</f>
        <v/>
      </c>
      <c r="T54" s="19" t="inlineStr">
        <is>
          <t>LC at sight</t>
        </is>
      </c>
      <c r="U54" s="26" t="n">
        <v>46169</v>
      </c>
      <c r="V54" s="26" t="n">
        <v>46199</v>
      </c>
      <c r="W54" s="27">
        <f>V54-TODAY()</f>
        <v/>
      </c>
      <c r="X54" s="28" t="n">
        <v>5000</v>
      </c>
      <c r="Y54" s="29" t="n">
        <v>6750000</v>
      </c>
      <c r="Z54" s="20" t="inlineStr">
        <is>
          <t>ASTM, LME spec</t>
        </is>
      </c>
      <c r="AA54" s="21" t="inlineStr">
        <is>
          <t>SGS</t>
        </is>
      </c>
      <c r="AB54" s="30" t="inlineStr">
        <is>
          <t>✓ Yes</t>
        </is>
      </c>
    </row>
    <row r="55" ht="18" customHeight="1">
      <c r="A55" s="31" t="inlineStr">
        <is>
          <t>REF-MIN-004</t>
        </is>
      </c>
      <c r="B55" s="32" t="inlineStr">
        <is>
          <t>SIL-EGY</t>
        </is>
      </c>
      <c r="C55" s="33" t="inlineStr">
        <is>
          <t>Silica Sand SiO₂ 99.5% Egypt</t>
        </is>
      </c>
      <c r="D55" s="57" t="inlineStr">
        <is>
          <t>Critical Minerals</t>
        </is>
      </c>
      <c r="E55" s="34" t="inlineStr">
        <is>
          <t>MT</t>
        </is>
      </c>
      <c r="F55" s="35" t="n">
        <v>28</v>
      </c>
      <c r="G55" s="36" t="n">
        <v>58</v>
      </c>
      <c r="H55" s="35" t="n">
        <v>45</v>
      </c>
      <c r="I55" s="35" t="n">
        <v>5</v>
      </c>
      <c r="J55" s="17">
        <f>G55+I55</f>
        <v/>
      </c>
      <c r="K55" s="49">
        <f>(G55-F55)/G55</f>
        <v/>
      </c>
      <c r="L55" s="37" t="inlineStr">
        <is>
          <t>Alexandria, Egypt</t>
        </is>
      </c>
      <c r="M55" s="37" t="inlineStr">
        <is>
          <t>Rotterdam, Netherlands</t>
        </is>
      </c>
      <c r="N55" s="38" t="inlineStr">
        <is>
          <t>Alexandria, Egypt → Rotterdam, Netherlands</t>
        </is>
      </c>
      <c r="O55" s="39" t="n">
        <v>10</v>
      </c>
      <c r="P55" s="40" t="inlineStr">
        <is>
          <t>FOB</t>
        </is>
      </c>
      <c r="Q55" s="41" t="inlineStr">
        <is>
          <t>Egypt</t>
        </is>
      </c>
      <c r="R55" s="42" t="n">
        <v>0</v>
      </c>
      <c r="S55" s="25">
        <f>J55*(1+R55/100)</f>
        <v/>
      </c>
      <c r="T55" s="37" t="inlineStr">
        <is>
          <t>LC at sight</t>
        </is>
      </c>
      <c r="U55" s="43" t="n">
        <v>46169</v>
      </c>
      <c r="V55" s="43" t="n">
        <v>46199</v>
      </c>
      <c r="W55" s="27">
        <f>V55-TODAY()</f>
        <v/>
      </c>
      <c r="X55" s="44" t="n">
        <v>5000</v>
      </c>
      <c r="Y55" s="45" t="n">
        <v>290000</v>
      </c>
      <c r="Z55" s="38" t="inlineStr">
        <is>
          <t>REACH, ISO 9001</t>
        </is>
      </c>
      <c r="AA55" s="39" t="inlineStr">
        <is>
          <t>Intertek</t>
        </is>
      </c>
      <c r="AB55" s="30" t="inlineStr">
        <is>
          <t>✓ Yes</t>
        </is>
      </c>
    </row>
    <row r="56" ht="18" customHeight="1">
      <c r="A56" s="10" t="inlineStr">
        <is>
          <t>REF-MIN-005</t>
        </is>
      </c>
      <c r="B56" s="11" t="inlineStr">
        <is>
          <t>KAO-EGY</t>
        </is>
      </c>
      <c r="C56" s="12" t="inlineStr">
        <is>
          <t>Kaolin Brightness 85 ISO Egypt</t>
        </is>
      </c>
      <c r="D56" s="57" t="inlineStr">
        <is>
          <t>Critical Minerals</t>
        </is>
      </c>
      <c r="E56" s="14" t="inlineStr">
        <is>
          <t>MT</t>
        </is>
      </c>
      <c r="F56" s="15" t="n">
        <v>32</v>
      </c>
      <c r="G56" s="16" t="n">
        <v>72</v>
      </c>
      <c r="H56" s="15" t="n">
        <v>55</v>
      </c>
      <c r="I56" s="15" t="n">
        <v>6</v>
      </c>
      <c r="J56" s="17">
        <f>G56+I56</f>
        <v/>
      </c>
      <c r="K56" s="49">
        <f>(G56-F56)/G56</f>
        <v/>
      </c>
      <c r="L56" s="19" t="inlineStr">
        <is>
          <t>Alexandria, Egypt</t>
        </is>
      </c>
      <c r="M56" s="19" t="inlineStr">
        <is>
          <t>Genoa, Italy</t>
        </is>
      </c>
      <c r="N56" s="20" t="inlineStr">
        <is>
          <t>Alexandria, Egypt → Genoa, Italy</t>
        </is>
      </c>
      <c r="O56" s="21" t="n">
        <v>9</v>
      </c>
      <c r="P56" s="22" t="inlineStr">
        <is>
          <t>FOB</t>
        </is>
      </c>
      <c r="Q56" s="23" t="inlineStr">
        <is>
          <t>Egypt</t>
        </is>
      </c>
      <c r="R56" s="24" t="n">
        <v>0</v>
      </c>
      <c r="S56" s="25">
        <f>J56*(1+R56/100)</f>
        <v/>
      </c>
      <c r="T56" s="19" t="inlineStr">
        <is>
          <t>LC at sight</t>
        </is>
      </c>
      <c r="U56" s="26" t="n">
        <v>46169</v>
      </c>
      <c r="V56" s="26" t="n">
        <v>46199</v>
      </c>
      <c r="W56" s="27">
        <f>V56-TODAY()</f>
        <v/>
      </c>
      <c r="X56" s="28" t="n">
        <v>1000</v>
      </c>
      <c r="Y56" s="29" t="n">
        <v>72000</v>
      </c>
      <c r="Z56" s="20" t="inlineStr">
        <is>
          <t>REACH, EN</t>
        </is>
      </c>
      <c r="AA56" s="21" t="inlineStr">
        <is>
          <t>SGS</t>
        </is>
      </c>
      <c r="AB56" s="30" t="inlineStr">
        <is>
          <t>✓ Yes</t>
        </is>
      </c>
    </row>
    <row r="57" ht="18" customHeight="1">
      <c r="A57" s="31" t="inlineStr">
        <is>
          <t>REF-MIN-006</t>
        </is>
      </c>
      <c r="B57" s="32" t="inlineStr">
        <is>
          <t>GLD-KSA</t>
        </is>
      </c>
      <c r="C57" s="33" t="inlineStr">
        <is>
          <t>Gold Doré 75% Au Saudi</t>
        </is>
      </c>
      <c r="D57" s="57" t="inlineStr">
        <is>
          <t>Critical Minerals</t>
        </is>
      </c>
      <c r="E57" s="34" t="inlineStr">
        <is>
          <t>oz</t>
        </is>
      </c>
      <c r="F57" s="35" t="n">
        <v>2850</v>
      </c>
      <c r="G57" s="36" t="n">
        <v>3200</v>
      </c>
      <c r="H57" s="35" t="n">
        <v>3050</v>
      </c>
      <c r="I57" s="35" t="n">
        <v>0</v>
      </c>
      <c r="J57" s="17">
        <f>G57+I57</f>
        <v/>
      </c>
      <c r="K57" s="46">
        <f>(G57-F57)/G57</f>
        <v/>
      </c>
      <c r="L57" s="37" t="inlineStr">
        <is>
          <t>Yanbu, Saudi Arabia</t>
        </is>
      </c>
      <c r="M57" s="37" t="inlineStr">
        <is>
          <t>London LBMA</t>
        </is>
      </c>
      <c r="N57" s="38" t="inlineStr">
        <is>
          <t>Yanbu, Saudi Arabia → London LBMA</t>
        </is>
      </c>
      <c r="O57" s="39" t="n">
        <v>3</v>
      </c>
      <c r="P57" s="51" t="inlineStr">
        <is>
          <t>TT advance</t>
        </is>
      </c>
      <c r="Q57" s="41" t="inlineStr">
        <is>
          <t>Saudi Arabia</t>
        </is>
      </c>
      <c r="R57" s="42" t="n">
        <v>0</v>
      </c>
      <c r="S57" s="25">
        <f>J57*(1+R57/100)</f>
        <v/>
      </c>
      <c r="T57" s="37" t="inlineStr">
        <is>
          <t>TT in advance</t>
        </is>
      </c>
      <c r="U57" s="43" t="n">
        <v>46169</v>
      </c>
      <c r="V57" s="43" t="n">
        <v>46199</v>
      </c>
      <c r="W57" s="27">
        <f>V57-TODAY()</f>
        <v/>
      </c>
      <c r="X57" s="44" t="n">
        <v>100</v>
      </c>
      <c r="Y57" s="45" t="n">
        <v>320000</v>
      </c>
      <c r="Z57" s="38" t="inlineStr">
        <is>
          <t>LBMA, ISO 9001</t>
        </is>
      </c>
      <c r="AA57" s="39" t="inlineStr">
        <is>
          <t>Intertek</t>
        </is>
      </c>
      <c r="AB57" s="30" t="inlineStr">
        <is>
          <t>✓ Yes</t>
        </is>
      </c>
    </row>
    <row r="58" ht="18" customHeight="1">
      <c r="A58" s="10" t="inlineStr">
        <is>
          <t>REF-MIN-007</t>
        </is>
      </c>
      <c r="B58" s="11" t="inlineStr">
        <is>
          <t>ZNC-ALG</t>
        </is>
      </c>
      <c r="C58" s="12" t="inlineStr">
        <is>
          <t>Zinc Concentrate 50% Algeria</t>
        </is>
      </c>
      <c r="D58" s="57" t="inlineStr">
        <is>
          <t>Critical Minerals</t>
        </is>
      </c>
      <c r="E58" s="14" t="inlineStr">
        <is>
          <t>DMT</t>
        </is>
      </c>
      <c r="F58" s="15" t="n">
        <v>1150</v>
      </c>
      <c r="G58" s="16" t="n">
        <v>1650</v>
      </c>
      <c r="H58" s="15" t="n">
        <v>1350</v>
      </c>
      <c r="I58" s="15" t="n">
        <v>40</v>
      </c>
      <c r="J58" s="17">
        <f>G58+I58</f>
        <v/>
      </c>
      <c r="K58" s="49">
        <f>(G58-F58)/G58</f>
        <v/>
      </c>
      <c r="L58" s="19" t="inlineStr">
        <is>
          <t>Bejaia, Algeria</t>
        </is>
      </c>
      <c r="M58" s="19" t="inlineStr">
        <is>
          <t>Rotterdam, Netherlands</t>
        </is>
      </c>
      <c r="N58" s="20" t="inlineStr">
        <is>
          <t>Bejaia, Algeria → Rotterdam, Netherlands</t>
        </is>
      </c>
      <c r="O58" s="21" t="n">
        <v>12</v>
      </c>
      <c r="P58" s="52" t="inlineStr">
        <is>
          <t>CIF</t>
        </is>
      </c>
      <c r="Q58" s="23" t="inlineStr">
        <is>
          <t>Algeria</t>
        </is>
      </c>
      <c r="R58" s="24" t="n">
        <v>0</v>
      </c>
      <c r="S58" s="25">
        <f>J58*(1+R58/100)</f>
        <v/>
      </c>
      <c r="T58" s="19" t="inlineStr">
        <is>
          <t>LC at sight</t>
        </is>
      </c>
      <c r="U58" s="26" t="n">
        <v>46169</v>
      </c>
      <c r="V58" s="26" t="n">
        <v>46199</v>
      </c>
      <c r="W58" s="27">
        <f>V58-TODAY()</f>
        <v/>
      </c>
      <c r="X58" s="28" t="n">
        <v>5000</v>
      </c>
      <c r="Y58" s="29" t="n">
        <v>8250000</v>
      </c>
      <c r="Z58" s="20" t="inlineStr">
        <is>
          <t>LME spec</t>
        </is>
      </c>
      <c r="AA58" s="21" t="inlineStr">
        <is>
          <t>SGS</t>
        </is>
      </c>
      <c r="AB58" s="30" t="inlineStr">
        <is>
          <t>✓ Yes</t>
        </is>
      </c>
    </row>
    <row r="59" ht="18" customHeight="1">
      <c r="A59" s="31" t="inlineStr">
        <is>
          <t>REF-MIN-008</t>
        </is>
      </c>
      <c r="B59" s="32" t="inlineStr">
        <is>
          <t>BAR-ALG</t>
        </is>
      </c>
      <c r="C59" s="33" t="inlineStr">
        <is>
          <t>Barite API Grade SG 4.2 Algeria</t>
        </is>
      </c>
      <c r="D59" s="57" t="inlineStr">
        <is>
          <t>Critical Minerals</t>
        </is>
      </c>
      <c r="E59" s="34" t="inlineStr">
        <is>
          <t>MT</t>
        </is>
      </c>
      <c r="F59" s="35" t="n">
        <v>95</v>
      </c>
      <c r="G59" s="36" t="n">
        <v>155</v>
      </c>
      <c r="H59" s="35" t="n">
        <v>140</v>
      </c>
      <c r="I59" s="35" t="n">
        <v>12</v>
      </c>
      <c r="J59" s="17">
        <f>G59+I59</f>
        <v/>
      </c>
      <c r="K59" s="49">
        <f>(G59-F59)/G59</f>
        <v/>
      </c>
      <c r="L59" s="37" t="inlineStr">
        <is>
          <t>Annaba, Algeria</t>
        </is>
      </c>
      <c r="M59" s="37" t="inlineStr">
        <is>
          <t>Houston, USA</t>
        </is>
      </c>
      <c r="N59" s="38" t="inlineStr">
        <is>
          <t>Annaba, Algeria → Houston, USA</t>
        </is>
      </c>
      <c r="O59" s="39" t="n">
        <v>16</v>
      </c>
      <c r="P59" s="40" t="inlineStr">
        <is>
          <t>FOB</t>
        </is>
      </c>
      <c r="Q59" s="41" t="inlineStr">
        <is>
          <t>Algeria</t>
        </is>
      </c>
      <c r="R59" s="42" t="n">
        <v>0</v>
      </c>
      <c r="S59" s="25">
        <f>J59*(1+R59/100)</f>
        <v/>
      </c>
      <c r="T59" s="37" t="inlineStr">
        <is>
          <t>LC at sight</t>
        </is>
      </c>
      <c r="U59" s="43" t="n">
        <v>46169</v>
      </c>
      <c r="V59" s="43" t="n">
        <v>46199</v>
      </c>
      <c r="W59" s="27">
        <f>V59-TODAY()</f>
        <v/>
      </c>
      <c r="X59" s="44" t="n">
        <v>2000</v>
      </c>
      <c r="Y59" s="45" t="n">
        <v>310000</v>
      </c>
      <c r="Z59" s="38" t="inlineStr">
        <is>
          <t>API 13A</t>
        </is>
      </c>
      <c r="AA59" s="39" t="inlineStr">
        <is>
          <t>SGS</t>
        </is>
      </c>
      <c r="AB59" s="30" t="inlineStr">
        <is>
          <t>✓ Yes</t>
        </is>
      </c>
    </row>
    <row r="60" ht="18" customHeight="1">
      <c r="A60" s="10" t="inlineStr">
        <is>
          <t>REF-PET-001</t>
        </is>
      </c>
      <c r="B60" s="11" t="inlineStr">
        <is>
          <t>PP-HOM</t>
        </is>
      </c>
      <c r="C60" s="12" t="inlineStr">
        <is>
          <t>PP Homopolymer Raffia Grade</t>
        </is>
      </c>
      <c r="D60" s="58" t="inlineStr">
        <is>
          <t>Petrochemicals</t>
        </is>
      </c>
      <c r="E60" s="14" t="inlineStr">
        <is>
          <t>MT</t>
        </is>
      </c>
      <c r="F60" s="15" t="n">
        <v>720</v>
      </c>
      <c r="G60" s="16" t="n">
        <v>920</v>
      </c>
      <c r="H60" s="15" t="n">
        <v>880</v>
      </c>
      <c r="I60" s="15" t="n">
        <v>28</v>
      </c>
      <c r="J60" s="17">
        <f>G60+I60</f>
        <v/>
      </c>
      <c r="K60" s="49">
        <f>(G60-F60)/G60</f>
        <v/>
      </c>
      <c r="L60" s="19" t="inlineStr">
        <is>
          <t>Al-Jubail, Saudi Arabia</t>
        </is>
      </c>
      <c r="M60" s="19" t="inlineStr">
        <is>
          <t>Istanbul, Turkey</t>
        </is>
      </c>
      <c r="N60" s="20" t="inlineStr">
        <is>
          <t>Al-Jubail, Saudi Arabia → Istanbul, Turkey</t>
        </is>
      </c>
      <c r="O60" s="21" t="n">
        <v>7</v>
      </c>
      <c r="P60" s="22" t="inlineStr">
        <is>
          <t>FOB</t>
        </is>
      </c>
      <c r="Q60" s="23" t="inlineStr">
        <is>
          <t>Saudi Arabia</t>
        </is>
      </c>
      <c r="R60" s="24" t="n">
        <v>0</v>
      </c>
      <c r="S60" s="25">
        <f>J60*(1+R60/100)</f>
        <v/>
      </c>
      <c r="T60" s="19" t="inlineStr">
        <is>
          <t>LC at sight / TT</t>
        </is>
      </c>
      <c r="U60" s="26" t="n">
        <v>46169</v>
      </c>
      <c r="V60" s="26" t="n">
        <v>46199</v>
      </c>
      <c r="W60" s="27">
        <f>V60-TODAY()</f>
        <v/>
      </c>
      <c r="X60" s="28" t="n">
        <v>500</v>
      </c>
      <c r="Y60" s="29" t="n">
        <v>460000</v>
      </c>
      <c r="Z60" s="20" t="inlineStr">
        <is>
          <t>REACH, RoHS</t>
        </is>
      </c>
      <c r="AA60" s="21" t="inlineStr">
        <is>
          <t>Intertek</t>
        </is>
      </c>
      <c r="AB60" s="30" t="inlineStr">
        <is>
          <t>✓ Yes</t>
        </is>
      </c>
    </row>
    <row r="61" ht="18" customHeight="1">
      <c r="A61" s="31" t="inlineStr">
        <is>
          <t>REF-PET-002</t>
        </is>
      </c>
      <c r="B61" s="32" t="inlineStr">
        <is>
          <t>PP-COP</t>
        </is>
      </c>
      <c r="C61" s="33" t="inlineStr">
        <is>
          <t>PP Copolymer Impact Grade</t>
        </is>
      </c>
      <c r="D61" s="58" t="inlineStr">
        <is>
          <t>Petrochemicals</t>
        </is>
      </c>
      <c r="E61" s="34" t="inlineStr">
        <is>
          <t>MT</t>
        </is>
      </c>
      <c r="F61" s="35" t="n">
        <v>760</v>
      </c>
      <c r="G61" s="36" t="n">
        <v>970</v>
      </c>
      <c r="H61" s="35" t="n">
        <v>930</v>
      </c>
      <c r="I61" s="35" t="n">
        <v>30</v>
      </c>
      <c r="J61" s="17">
        <f>G61+I61</f>
        <v/>
      </c>
      <c r="K61" s="49">
        <f>(G61-F61)/G61</f>
        <v/>
      </c>
      <c r="L61" s="37" t="inlineStr">
        <is>
          <t>Ruwais, UAE</t>
        </is>
      </c>
      <c r="M61" s="37" t="inlineStr">
        <is>
          <t>Mumbai, India</t>
        </is>
      </c>
      <c r="N61" s="38" t="inlineStr">
        <is>
          <t>Ruwais, UAE → Mumbai, India</t>
        </is>
      </c>
      <c r="O61" s="39" t="n">
        <v>8</v>
      </c>
      <c r="P61" s="40" t="inlineStr">
        <is>
          <t>FOB</t>
        </is>
      </c>
      <c r="Q61" s="41" t="inlineStr">
        <is>
          <t>UAE</t>
        </is>
      </c>
      <c r="R61" s="42" t="n">
        <v>0</v>
      </c>
      <c r="S61" s="25">
        <f>J61*(1+R61/100)</f>
        <v/>
      </c>
      <c r="T61" s="37" t="inlineStr">
        <is>
          <t>LC at sight</t>
        </is>
      </c>
      <c r="U61" s="43" t="n">
        <v>46169</v>
      </c>
      <c r="V61" s="43" t="n">
        <v>46199</v>
      </c>
      <c r="W61" s="27">
        <f>V61-TODAY()</f>
        <v/>
      </c>
      <c r="X61" s="44" t="n">
        <v>100</v>
      </c>
      <c r="Y61" s="45" t="n">
        <v>97000</v>
      </c>
      <c r="Z61" s="38" t="inlineStr">
        <is>
          <t>REACH</t>
        </is>
      </c>
      <c r="AA61" s="39" t="inlineStr">
        <is>
          <t>Intertek</t>
        </is>
      </c>
      <c r="AB61" s="30" t="inlineStr">
        <is>
          <t>✓ Yes</t>
        </is>
      </c>
    </row>
    <row r="62" ht="18" customHeight="1">
      <c r="A62" s="10" t="inlineStr">
        <is>
          <t>REF-PET-003</t>
        </is>
      </c>
      <c r="B62" s="11" t="inlineStr">
        <is>
          <t>HDPE-PG</t>
        </is>
      </c>
      <c r="C62" s="12" t="inlineStr">
        <is>
          <t>HDPE Pipe Grade PE100</t>
        </is>
      </c>
      <c r="D62" s="58" t="inlineStr">
        <is>
          <t>Petrochemicals</t>
        </is>
      </c>
      <c r="E62" s="14" t="inlineStr">
        <is>
          <t>MT</t>
        </is>
      </c>
      <c r="F62" s="15" t="n">
        <v>700</v>
      </c>
      <c r="G62" s="16" t="n">
        <v>920</v>
      </c>
      <c r="H62" s="15" t="n">
        <v>870</v>
      </c>
      <c r="I62" s="15" t="n">
        <v>25</v>
      </c>
      <c r="J62" s="17">
        <f>G62+I62</f>
        <v/>
      </c>
      <c r="K62" s="49">
        <f>(G62-F62)/G62</f>
        <v/>
      </c>
      <c r="L62" s="19" t="inlineStr">
        <is>
          <t>Al-Jubail, Saudi Arabia</t>
        </is>
      </c>
      <c r="M62" s="19" t="inlineStr">
        <is>
          <t>Alexandria, Egypt</t>
        </is>
      </c>
      <c r="N62" s="20" t="inlineStr">
        <is>
          <t>Al-Jubail, Saudi Arabia → Alexandria, Egypt</t>
        </is>
      </c>
      <c r="O62" s="21" t="n">
        <v>8</v>
      </c>
      <c r="P62" s="22" t="inlineStr">
        <is>
          <t>FOB</t>
        </is>
      </c>
      <c r="Q62" s="23" t="inlineStr">
        <is>
          <t>Saudi Arabia</t>
        </is>
      </c>
      <c r="R62" s="24" t="n">
        <v>0</v>
      </c>
      <c r="S62" s="25">
        <f>J62*(1+R62/100)</f>
        <v/>
      </c>
      <c r="T62" s="19" t="inlineStr">
        <is>
          <t>LC at sight</t>
        </is>
      </c>
      <c r="U62" s="26" t="n">
        <v>46169</v>
      </c>
      <c r="V62" s="26" t="n">
        <v>46199</v>
      </c>
      <c r="W62" s="27">
        <f>V62-TODAY()</f>
        <v/>
      </c>
      <c r="X62" s="28" t="n">
        <v>500</v>
      </c>
      <c r="Y62" s="29" t="n">
        <v>460000</v>
      </c>
      <c r="Z62" s="20" t="inlineStr">
        <is>
          <t>REACH, ISO 4427</t>
        </is>
      </c>
      <c r="AA62" s="21" t="inlineStr">
        <is>
          <t>SGS</t>
        </is>
      </c>
      <c r="AB62" s="30" t="inlineStr">
        <is>
          <t>✓ Yes</t>
        </is>
      </c>
    </row>
    <row r="63" ht="18" customHeight="1">
      <c r="A63" s="31" t="inlineStr">
        <is>
          <t>REF-PET-004</t>
        </is>
      </c>
      <c r="B63" s="32" t="inlineStr">
        <is>
          <t>HDPE-BL</t>
        </is>
      </c>
      <c r="C63" s="33" t="inlineStr">
        <is>
          <t>HDPE Blow Grade</t>
        </is>
      </c>
      <c r="D63" s="58" t="inlineStr">
        <is>
          <t>Petrochemicals</t>
        </is>
      </c>
      <c r="E63" s="34" t="inlineStr">
        <is>
          <t>MT</t>
        </is>
      </c>
      <c r="F63" s="35" t="n">
        <v>690</v>
      </c>
      <c r="G63" s="36" t="n">
        <v>900</v>
      </c>
      <c r="H63" s="35" t="n">
        <v>845</v>
      </c>
      <c r="I63" s="35" t="n">
        <v>24</v>
      </c>
      <c r="J63" s="17">
        <f>G63+I63</f>
        <v/>
      </c>
      <c r="K63" s="49">
        <f>(G63-F63)/G63</f>
        <v/>
      </c>
      <c r="L63" s="37" t="inlineStr">
        <is>
          <t>Al-Jubail, Saudi Arabia</t>
        </is>
      </c>
      <c r="M63" s="37" t="inlineStr">
        <is>
          <t>Istanbul, Turkey</t>
        </is>
      </c>
      <c r="N63" s="38" t="inlineStr">
        <is>
          <t>Al-Jubail, Saudi Arabia → Istanbul, Turkey</t>
        </is>
      </c>
      <c r="O63" s="39" t="n">
        <v>7</v>
      </c>
      <c r="P63" s="40" t="inlineStr">
        <is>
          <t>FOB</t>
        </is>
      </c>
      <c r="Q63" s="41" t="inlineStr">
        <is>
          <t>Saudi Arabia</t>
        </is>
      </c>
      <c r="R63" s="42" t="n">
        <v>0</v>
      </c>
      <c r="S63" s="25">
        <f>J63*(1+R63/100)</f>
        <v/>
      </c>
      <c r="T63" s="37" t="inlineStr">
        <is>
          <t>LC at sight</t>
        </is>
      </c>
      <c r="U63" s="43" t="n">
        <v>46169</v>
      </c>
      <c r="V63" s="43" t="n">
        <v>46199</v>
      </c>
      <c r="W63" s="27">
        <f>V63-TODAY()</f>
        <v/>
      </c>
      <c r="X63" s="44" t="n">
        <v>500</v>
      </c>
      <c r="Y63" s="45" t="n">
        <v>450000</v>
      </c>
      <c r="Z63" s="38" t="inlineStr">
        <is>
          <t>REACH, RoHS</t>
        </is>
      </c>
      <c r="AA63" s="39" t="inlineStr">
        <is>
          <t>Intertek</t>
        </is>
      </c>
      <c r="AB63" s="30" t="inlineStr">
        <is>
          <t>✓ Yes</t>
        </is>
      </c>
    </row>
    <row r="64" ht="18" customHeight="1">
      <c r="A64" s="10" t="inlineStr">
        <is>
          <t>REF-PET-005</t>
        </is>
      </c>
      <c r="B64" s="11" t="inlineStr">
        <is>
          <t>LDPE-FG</t>
        </is>
      </c>
      <c r="C64" s="12" t="inlineStr">
        <is>
          <t>LDPE Film Grade Qatar</t>
        </is>
      </c>
      <c r="D64" s="58" t="inlineStr">
        <is>
          <t>Petrochemicals</t>
        </is>
      </c>
      <c r="E64" s="14" t="inlineStr">
        <is>
          <t>MT</t>
        </is>
      </c>
      <c r="F64" s="15" t="n">
        <v>700</v>
      </c>
      <c r="G64" s="16" t="n">
        <v>900</v>
      </c>
      <c r="H64" s="15" t="n">
        <v>855</v>
      </c>
      <c r="I64" s="15" t="n">
        <v>22</v>
      </c>
      <c r="J64" s="17">
        <f>G64+I64</f>
        <v/>
      </c>
      <c r="K64" s="49">
        <f>(G64-F64)/G64</f>
        <v/>
      </c>
      <c r="L64" s="19" t="inlineStr">
        <is>
          <t>Ras Laffan, Qatar</t>
        </is>
      </c>
      <c r="M64" s="19" t="inlineStr">
        <is>
          <t>Mumbai, India</t>
        </is>
      </c>
      <c r="N64" s="20" t="inlineStr">
        <is>
          <t>Ras Laffan, Qatar → Mumbai, India</t>
        </is>
      </c>
      <c r="O64" s="21" t="n">
        <v>9</v>
      </c>
      <c r="P64" s="22" t="inlineStr">
        <is>
          <t>FOB</t>
        </is>
      </c>
      <c r="Q64" s="23" t="inlineStr">
        <is>
          <t>Qatar</t>
        </is>
      </c>
      <c r="R64" s="24" t="n">
        <v>0</v>
      </c>
      <c r="S64" s="25">
        <f>J64*(1+R64/100)</f>
        <v/>
      </c>
      <c r="T64" s="19" t="inlineStr">
        <is>
          <t>LC at sight</t>
        </is>
      </c>
      <c r="U64" s="26" t="n">
        <v>46169</v>
      </c>
      <c r="V64" s="26" t="n">
        <v>46199</v>
      </c>
      <c r="W64" s="27">
        <f>V64-TODAY()</f>
        <v/>
      </c>
      <c r="X64" s="28" t="n">
        <v>200</v>
      </c>
      <c r="Y64" s="29" t="n">
        <v>180000</v>
      </c>
      <c r="Z64" s="20" t="inlineStr">
        <is>
          <t>REACH</t>
        </is>
      </c>
      <c r="AA64" s="21" t="inlineStr">
        <is>
          <t>SGS</t>
        </is>
      </c>
      <c r="AB64" s="30" t="inlineStr">
        <is>
          <t>✓ Yes</t>
        </is>
      </c>
    </row>
    <row r="65" ht="18" customHeight="1">
      <c r="A65" s="31" t="inlineStr">
        <is>
          <t>REF-PET-006</t>
        </is>
      </c>
      <c r="B65" s="32" t="inlineStr">
        <is>
          <t>LLDPE4</t>
        </is>
      </c>
      <c r="C65" s="33" t="inlineStr">
        <is>
          <t>LLDPE C4 Butene Borouge</t>
        </is>
      </c>
      <c r="D65" s="58" t="inlineStr">
        <is>
          <t>Petrochemicals</t>
        </is>
      </c>
      <c r="E65" s="34" t="inlineStr">
        <is>
          <t>MT</t>
        </is>
      </c>
      <c r="F65" s="35" t="n">
        <v>710</v>
      </c>
      <c r="G65" s="36" t="n">
        <v>920</v>
      </c>
      <c r="H65" s="35" t="n">
        <v>880</v>
      </c>
      <c r="I65" s="35" t="n">
        <v>24</v>
      </c>
      <c r="J65" s="17">
        <f>G65+I65</f>
        <v/>
      </c>
      <c r="K65" s="49">
        <f>(G65-F65)/G65</f>
        <v/>
      </c>
      <c r="L65" s="37" t="inlineStr">
        <is>
          <t>Ruwais, UAE</t>
        </is>
      </c>
      <c r="M65" s="37" t="inlineStr">
        <is>
          <t>Rotterdam, Netherlands</t>
        </is>
      </c>
      <c r="N65" s="38" t="inlineStr">
        <is>
          <t>Ruwais, UAE → Rotterdam, Netherlands</t>
        </is>
      </c>
      <c r="O65" s="39" t="n">
        <v>12</v>
      </c>
      <c r="P65" s="40" t="inlineStr">
        <is>
          <t>FOB</t>
        </is>
      </c>
      <c r="Q65" s="41" t="inlineStr">
        <is>
          <t>UAE</t>
        </is>
      </c>
      <c r="R65" s="42" t="n">
        <v>0</v>
      </c>
      <c r="S65" s="25">
        <f>J65*(1+R65/100)</f>
        <v/>
      </c>
      <c r="T65" s="37" t="inlineStr">
        <is>
          <t>LC at sight</t>
        </is>
      </c>
      <c r="U65" s="43" t="n">
        <v>46169</v>
      </c>
      <c r="V65" s="43" t="n">
        <v>46199</v>
      </c>
      <c r="W65" s="27">
        <f>V65-TODAY()</f>
        <v/>
      </c>
      <c r="X65" s="44" t="n">
        <v>200</v>
      </c>
      <c r="Y65" s="45" t="n">
        <v>184000</v>
      </c>
      <c r="Z65" s="38" t="inlineStr">
        <is>
          <t>REACH</t>
        </is>
      </c>
      <c r="AA65" s="39" t="inlineStr">
        <is>
          <t>Intertek</t>
        </is>
      </c>
      <c r="AB65" s="30" t="inlineStr">
        <is>
          <t>✓ Yes</t>
        </is>
      </c>
    </row>
    <row r="66" ht="18" customHeight="1">
      <c r="A66" s="10" t="inlineStr">
        <is>
          <t>REF-PET-007</t>
        </is>
      </c>
      <c r="B66" s="11" t="inlineStr">
        <is>
          <t>PVCR-K</t>
        </is>
      </c>
      <c r="C66" s="12" t="inlineStr">
        <is>
          <t>PVC Resin S-PVC K67</t>
        </is>
      </c>
      <c r="D66" s="58" t="inlineStr">
        <is>
          <t>Petrochemicals</t>
        </is>
      </c>
      <c r="E66" s="14" t="inlineStr">
        <is>
          <t>MT</t>
        </is>
      </c>
      <c r="F66" s="15" t="n">
        <v>620</v>
      </c>
      <c r="G66" s="16" t="n">
        <v>820</v>
      </c>
      <c r="H66" s="15" t="n">
        <v>780</v>
      </c>
      <c r="I66" s="15" t="n">
        <v>20</v>
      </c>
      <c r="J66" s="17">
        <f>G66+I66</f>
        <v/>
      </c>
      <c r="K66" s="49">
        <f>(G66-F66)/G66</f>
        <v/>
      </c>
      <c r="L66" s="19" t="inlineStr">
        <is>
          <t>Al-Jubail, Saudi Arabia</t>
        </is>
      </c>
      <c r="M66" s="19" t="inlineStr">
        <is>
          <t>Alexandria, Egypt</t>
        </is>
      </c>
      <c r="N66" s="20" t="inlineStr">
        <is>
          <t>Al-Jubail, Saudi Arabia → Alexandria, Egypt</t>
        </is>
      </c>
      <c r="O66" s="21" t="n">
        <v>8</v>
      </c>
      <c r="P66" s="22" t="inlineStr">
        <is>
          <t>FOB</t>
        </is>
      </c>
      <c r="Q66" s="23" t="inlineStr">
        <is>
          <t>Saudi Arabia</t>
        </is>
      </c>
      <c r="R66" s="24" t="n">
        <v>0</v>
      </c>
      <c r="S66" s="25">
        <f>J66*(1+R66/100)</f>
        <v/>
      </c>
      <c r="T66" s="19" t="inlineStr">
        <is>
          <t>LC at sight</t>
        </is>
      </c>
      <c r="U66" s="26" t="n">
        <v>46169</v>
      </c>
      <c r="V66" s="26" t="n">
        <v>46199</v>
      </c>
      <c r="W66" s="27">
        <f>V66-TODAY()</f>
        <v/>
      </c>
      <c r="X66" s="28" t="n">
        <v>200</v>
      </c>
      <c r="Y66" s="29" t="n">
        <v>164000</v>
      </c>
      <c r="Z66" s="20" t="inlineStr">
        <is>
          <t>REACH, ISO</t>
        </is>
      </c>
      <c r="AA66" s="21" t="inlineStr">
        <is>
          <t>SGS</t>
        </is>
      </c>
      <c r="AB66" s="30" t="inlineStr">
        <is>
          <t>✓ Yes</t>
        </is>
      </c>
    </row>
    <row r="67" ht="18" customHeight="1">
      <c r="A67" s="31" t="inlineStr">
        <is>
          <t>REF-PET-010</t>
        </is>
      </c>
      <c r="B67" s="32" t="inlineStr">
        <is>
          <t>UREA-F</t>
        </is>
      </c>
      <c r="C67" s="33" t="inlineStr">
        <is>
          <t>Urea 46% Granular Fertiglobe</t>
        </is>
      </c>
      <c r="D67" s="58" t="inlineStr">
        <is>
          <t>Petrochemicals</t>
        </is>
      </c>
      <c r="E67" s="34" t="inlineStr">
        <is>
          <t>MT</t>
        </is>
      </c>
      <c r="F67" s="35" t="n">
        <v>310</v>
      </c>
      <c r="G67" s="36" t="n">
        <v>408</v>
      </c>
      <c r="H67" s="35" t="n">
        <v>390</v>
      </c>
      <c r="I67" s="35" t="n">
        <v>18</v>
      </c>
      <c r="J67" s="17">
        <f>G67+I67</f>
        <v/>
      </c>
      <c r="K67" s="49">
        <f>(G67-F67)/G67</f>
        <v/>
      </c>
      <c r="L67" s="37" t="inlineStr">
        <is>
          <t>Ruwais, UAE</t>
        </is>
      </c>
      <c r="M67" s="37" t="inlineStr">
        <is>
          <t>Chennai, India</t>
        </is>
      </c>
      <c r="N67" s="38" t="inlineStr">
        <is>
          <t>Ruwais, UAE → Chennai, India</t>
        </is>
      </c>
      <c r="O67" s="39" t="n">
        <v>9</v>
      </c>
      <c r="P67" s="40" t="inlineStr">
        <is>
          <t>FOB</t>
        </is>
      </c>
      <c r="Q67" s="41" t="inlineStr">
        <is>
          <t>UAE</t>
        </is>
      </c>
      <c r="R67" s="42" t="n">
        <v>0</v>
      </c>
      <c r="S67" s="25">
        <f>J67*(1+R67/100)</f>
        <v/>
      </c>
      <c r="T67" s="37" t="inlineStr">
        <is>
          <t>LC at sight</t>
        </is>
      </c>
      <c r="U67" s="43" t="n">
        <v>46169</v>
      </c>
      <c r="V67" s="43" t="n">
        <v>46199</v>
      </c>
      <c r="W67" s="27">
        <f>V67-TODAY()</f>
        <v/>
      </c>
      <c r="X67" s="44" t="n">
        <v>5000</v>
      </c>
      <c r="Y67" s="45" t="n">
        <v>2040000</v>
      </c>
      <c r="Z67" s="38" t="inlineStr">
        <is>
          <t>ISO 9001</t>
        </is>
      </c>
      <c r="AA67" s="39" t="inlineStr">
        <is>
          <t>SGS</t>
        </is>
      </c>
      <c r="AB67" s="30" t="inlineStr">
        <is>
          <t>✓ Yes</t>
        </is>
      </c>
    </row>
    <row r="68" ht="18" customHeight="1">
      <c r="A68" s="10" t="inlineStr">
        <is>
          <t>REF-PET-011</t>
        </is>
      </c>
      <c r="B68" s="11" t="inlineStr">
        <is>
          <t>AMN-FG</t>
        </is>
      </c>
      <c r="C68" s="12" t="inlineStr">
        <is>
          <t>Anhydrous Ammonia Fertiglobe</t>
        </is>
      </c>
      <c r="D68" s="58" t="inlineStr">
        <is>
          <t>Petrochemicals</t>
        </is>
      </c>
      <c r="E68" s="14" t="inlineStr">
        <is>
          <t>MT</t>
        </is>
      </c>
      <c r="F68" s="15" t="n">
        <v>250</v>
      </c>
      <c r="G68" s="16" t="n">
        <v>345</v>
      </c>
      <c r="H68" s="15" t="n">
        <v>310</v>
      </c>
      <c r="I68" s="15" t="n">
        <v>22</v>
      </c>
      <c r="J68" s="17">
        <f>G68+I68</f>
        <v/>
      </c>
      <c r="K68" s="49">
        <f>(G68-F68)/G68</f>
        <v/>
      </c>
      <c r="L68" s="19" t="inlineStr">
        <is>
          <t>Ruwais, UAE</t>
        </is>
      </c>
      <c r="M68" s="19" t="inlineStr">
        <is>
          <t>Mumbai, India</t>
        </is>
      </c>
      <c r="N68" s="20" t="inlineStr">
        <is>
          <t>Ruwais, UAE → Mumbai, India</t>
        </is>
      </c>
      <c r="O68" s="21" t="n">
        <v>8</v>
      </c>
      <c r="P68" s="22" t="inlineStr">
        <is>
          <t>FOB</t>
        </is>
      </c>
      <c r="Q68" s="23" t="inlineStr">
        <is>
          <t>UAE</t>
        </is>
      </c>
      <c r="R68" s="24" t="n">
        <v>0</v>
      </c>
      <c r="S68" s="25">
        <f>J68*(1+R68/100)</f>
        <v/>
      </c>
      <c r="T68" s="19" t="inlineStr">
        <is>
          <t>LC at sight</t>
        </is>
      </c>
      <c r="U68" s="26" t="n">
        <v>46169</v>
      </c>
      <c r="V68" s="26" t="n">
        <v>46199</v>
      </c>
      <c r="W68" s="27">
        <f>V68-TODAY()</f>
        <v/>
      </c>
      <c r="X68" s="28" t="n">
        <v>5000</v>
      </c>
      <c r="Y68" s="29" t="n">
        <v>1725000</v>
      </c>
      <c r="Z68" s="20" t="inlineStr">
        <is>
          <t>ISO 9001</t>
        </is>
      </c>
      <c r="AA68" s="21" t="inlineStr">
        <is>
          <t>SGS</t>
        </is>
      </c>
      <c r="AB68" s="30" t="inlineStr">
        <is>
          <t>✓ Yes</t>
        </is>
      </c>
    </row>
    <row r="69" ht="18" customHeight="1">
      <c r="A69" s="31" t="inlineStr">
        <is>
          <t>REF-PET-012</t>
        </is>
      </c>
      <c r="B69" s="32" t="inlineStr">
        <is>
          <t>DAP-MA</t>
        </is>
      </c>
      <c r="C69" s="33" t="inlineStr">
        <is>
          <t>DAP Fertilizer 18-46-0 Ma'aden</t>
        </is>
      </c>
      <c r="D69" s="58" t="inlineStr">
        <is>
          <t>Petrochemicals</t>
        </is>
      </c>
      <c r="E69" s="34" t="inlineStr">
        <is>
          <t>MT</t>
        </is>
      </c>
      <c r="F69" s="35" t="n">
        <v>420</v>
      </c>
      <c r="G69" s="36" t="n">
        <v>610</v>
      </c>
      <c r="H69" s="35" t="n">
        <v>580</v>
      </c>
      <c r="I69" s="35" t="n">
        <v>22</v>
      </c>
      <c r="J69" s="17">
        <f>G69+I69</f>
        <v/>
      </c>
      <c r="K69" s="49">
        <f>(G69-F69)/G69</f>
        <v/>
      </c>
      <c r="L69" s="37" t="inlineStr">
        <is>
          <t>Yanbu, Saudi Arabia</t>
        </is>
      </c>
      <c r="M69" s="37" t="inlineStr">
        <is>
          <t>Mumbai, India</t>
        </is>
      </c>
      <c r="N69" s="38" t="inlineStr">
        <is>
          <t>Yanbu, Saudi Arabia → Mumbai, India</t>
        </is>
      </c>
      <c r="O69" s="39" t="n">
        <v>9</v>
      </c>
      <c r="P69" s="40" t="inlineStr">
        <is>
          <t>FOB</t>
        </is>
      </c>
      <c r="Q69" s="41" t="inlineStr">
        <is>
          <t>Saudi Arabia</t>
        </is>
      </c>
      <c r="R69" s="42" t="n">
        <v>0</v>
      </c>
      <c r="S69" s="25">
        <f>J69*(1+R69/100)</f>
        <v/>
      </c>
      <c r="T69" s="37" t="inlineStr">
        <is>
          <t>LC at sight / 30d</t>
        </is>
      </c>
      <c r="U69" s="43" t="n">
        <v>46169</v>
      </c>
      <c r="V69" s="43" t="n">
        <v>46199</v>
      </c>
      <c r="W69" s="27">
        <f>V69-TODAY()</f>
        <v/>
      </c>
      <c r="X69" s="44" t="n">
        <v>5000</v>
      </c>
      <c r="Y69" s="45" t="n">
        <v>3050000</v>
      </c>
      <c r="Z69" s="38" t="inlineStr">
        <is>
          <t>ISO 9001</t>
        </is>
      </c>
      <c r="AA69" s="39" t="inlineStr">
        <is>
          <t>SGS</t>
        </is>
      </c>
      <c r="AB69" s="30" t="inlineStr">
        <is>
          <t>✓ Yes</t>
        </is>
      </c>
    </row>
    <row r="70" ht="18" customHeight="1">
      <c r="A70" s="10" t="inlineStr">
        <is>
          <t>REF-PET-020</t>
        </is>
      </c>
      <c r="B70" s="11" t="inlineStr">
        <is>
          <t>MET-KS</t>
        </is>
      </c>
      <c r="C70" s="12" t="inlineStr">
        <is>
          <t>Methanol IMPCA Grade Saudi</t>
        </is>
      </c>
      <c r="D70" s="58" t="inlineStr">
        <is>
          <t>Petrochemicals</t>
        </is>
      </c>
      <c r="E70" s="14" t="inlineStr">
        <is>
          <t>MT</t>
        </is>
      </c>
      <c r="F70" s="15" t="n">
        <v>210</v>
      </c>
      <c r="G70" s="16" t="n">
        <v>310</v>
      </c>
      <c r="H70" s="15" t="n">
        <v>280</v>
      </c>
      <c r="I70" s="15" t="n">
        <v>15</v>
      </c>
      <c r="J70" s="17">
        <f>G70+I70</f>
        <v/>
      </c>
      <c r="K70" s="49">
        <f>(G70-F70)/G70</f>
        <v/>
      </c>
      <c r="L70" s="19" t="inlineStr">
        <is>
          <t>Al-Jubail, Saudi Arabia</t>
        </is>
      </c>
      <c r="M70" s="19" t="inlineStr">
        <is>
          <t>Rotterdam, Netherlands</t>
        </is>
      </c>
      <c r="N70" s="20" t="inlineStr">
        <is>
          <t>Al-Jubail, Saudi Arabia → Rotterdam, Netherlands</t>
        </is>
      </c>
      <c r="O70" s="21" t="n">
        <v>14</v>
      </c>
      <c r="P70" s="22" t="inlineStr">
        <is>
          <t>FOB</t>
        </is>
      </c>
      <c r="Q70" s="23" t="inlineStr">
        <is>
          <t>Saudi Arabia</t>
        </is>
      </c>
      <c r="R70" s="24" t="n">
        <v>0</v>
      </c>
      <c r="S70" s="25">
        <f>J70*(1+R70/100)</f>
        <v/>
      </c>
      <c r="T70" s="19" t="inlineStr">
        <is>
          <t>LC at sight</t>
        </is>
      </c>
      <c r="U70" s="26" t="n">
        <v>46169</v>
      </c>
      <c r="V70" s="26" t="n">
        <v>46199</v>
      </c>
      <c r="W70" s="27">
        <f>V70-TODAY()</f>
        <v/>
      </c>
      <c r="X70" s="28" t="n">
        <v>5000</v>
      </c>
      <c r="Y70" s="29" t="n">
        <v>1550000</v>
      </c>
      <c r="Z70" s="20" t="inlineStr">
        <is>
          <t>REACH, IMPCA spec</t>
        </is>
      </c>
      <c r="AA70" s="21" t="inlineStr">
        <is>
          <t>SGS</t>
        </is>
      </c>
      <c r="AB70" s="30" t="inlineStr">
        <is>
          <t>✓ Yes</t>
        </is>
      </c>
    </row>
    <row r="71" ht="18" customHeight="1">
      <c r="A71" s="31" t="inlineStr">
        <is>
          <t>REF-PET-021</t>
        </is>
      </c>
      <c r="B71" s="32" t="inlineStr">
        <is>
          <t>MEG-SA</t>
        </is>
      </c>
      <c r="C71" s="33" t="inlineStr">
        <is>
          <t>MEG Fiber Grade ≥99.9%</t>
        </is>
      </c>
      <c r="D71" s="58" t="inlineStr">
        <is>
          <t>Petrochemicals</t>
        </is>
      </c>
      <c r="E71" s="34" t="inlineStr">
        <is>
          <t>MT</t>
        </is>
      </c>
      <c r="F71" s="35" t="n">
        <v>380</v>
      </c>
      <c r="G71" s="36" t="n">
        <v>520</v>
      </c>
      <c r="H71" s="35" t="n">
        <v>480</v>
      </c>
      <c r="I71" s="35" t="n">
        <v>18</v>
      </c>
      <c r="J71" s="17">
        <f>G71+I71</f>
        <v/>
      </c>
      <c r="K71" s="49">
        <f>(G71-F71)/G71</f>
        <v/>
      </c>
      <c r="L71" s="37" t="inlineStr">
        <is>
          <t>Yanbu, Saudi Arabia</t>
        </is>
      </c>
      <c r="M71" s="37" t="inlineStr">
        <is>
          <t>Istanbul, Turkey</t>
        </is>
      </c>
      <c r="N71" s="38" t="inlineStr">
        <is>
          <t>Yanbu, Saudi Arabia → Istanbul, Turkey</t>
        </is>
      </c>
      <c r="O71" s="39" t="n">
        <v>10</v>
      </c>
      <c r="P71" s="40" t="inlineStr">
        <is>
          <t>FOB</t>
        </is>
      </c>
      <c r="Q71" s="41" t="inlineStr">
        <is>
          <t>Saudi Arabia</t>
        </is>
      </c>
      <c r="R71" s="42" t="n">
        <v>0</v>
      </c>
      <c r="S71" s="25">
        <f>J71*(1+R71/100)</f>
        <v/>
      </c>
      <c r="T71" s="37" t="inlineStr">
        <is>
          <t>LC at sight</t>
        </is>
      </c>
      <c r="U71" s="43" t="n">
        <v>46169</v>
      </c>
      <c r="V71" s="43" t="n">
        <v>46199</v>
      </c>
      <c r="W71" s="27">
        <f>V71-TODAY()</f>
        <v/>
      </c>
      <c r="X71" s="44" t="n">
        <v>1000</v>
      </c>
      <c r="Y71" s="45" t="n">
        <v>520000</v>
      </c>
      <c r="Z71" s="38" t="inlineStr">
        <is>
          <t>REACH</t>
        </is>
      </c>
      <c r="AA71" s="39" t="inlineStr">
        <is>
          <t>SGS</t>
        </is>
      </c>
      <c r="AB71" s="30" t="inlineStr">
        <is>
          <t>✓ Yes</t>
        </is>
      </c>
    </row>
    <row r="72" ht="18" customHeight="1">
      <c r="A72" s="10" t="inlineStr">
        <is>
          <t>REF-PET-022</t>
        </is>
      </c>
      <c r="B72" s="11" t="inlineStr">
        <is>
          <t>BNZ-SA</t>
        </is>
      </c>
      <c r="C72" s="12" t="inlineStr">
        <is>
          <t>Benzene Petrochemical ≥99.9%</t>
        </is>
      </c>
      <c r="D72" s="58" t="inlineStr">
        <is>
          <t>Petrochemicals</t>
        </is>
      </c>
      <c r="E72" s="14" t="inlineStr">
        <is>
          <t>MT</t>
        </is>
      </c>
      <c r="F72" s="15" t="n">
        <v>540</v>
      </c>
      <c r="G72" s="16" t="n">
        <v>730</v>
      </c>
      <c r="H72" s="15" t="n">
        <v>680</v>
      </c>
      <c r="I72" s="15" t="n">
        <v>20</v>
      </c>
      <c r="J72" s="17">
        <f>G72+I72</f>
        <v/>
      </c>
      <c r="K72" s="49">
        <f>(G72-F72)/G72</f>
        <v/>
      </c>
      <c r="L72" s="19" t="inlineStr">
        <is>
          <t>Yanbu, Saudi Arabia</t>
        </is>
      </c>
      <c r="M72" s="19" t="inlineStr">
        <is>
          <t>Rotterdam, Netherlands</t>
        </is>
      </c>
      <c r="N72" s="20" t="inlineStr">
        <is>
          <t>Yanbu, Saudi Arabia → Rotterdam, Netherlands</t>
        </is>
      </c>
      <c r="O72" s="21" t="n">
        <v>12</v>
      </c>
      <c r="P72" s="22" t="inlineStr">
        <is>
          <t>FOB</t>
        </is>
      </c>
      <c r="Q72" s="23" t="inlineStr">
        <is>
          <t>Saudi Arabia</t>
        </is>
      </c>
      <c r="R72" s="24" t="n">
        <v>0</v>
      </c>
      <c r="S72" s="25">
        <f>J72*(1+R72/100)</f>
        <v/>
      </c>
      <c r="T72" s="19" t="inlineStr">
        <is>
          <t>LC at sight</t>
        </is>
      </c>
      <c r="U72" s="26" t="n">
        <v>46169</v>
      </c>
      <c r="V72" s="26" t="n">
        <v>46199</v>
      </c>
      <c r="W72" s="27">
        <f>V72-TODAY()</f>
        <v/>
      </c>
      <c r="X72" s="28" t="n">
        <v>1000</v>
      </c>
      <c r="Y72" s="29" t="n">
        <v>730000</v>
      </c>
      <c r="Z72" s="20" t="inlineStr">
        <is>
          <t>REACH, ADR</t>
        </is>
      </c>
      <c r="AA72" s="21" t="inlineStr">
        <is>
          <t>SGS</t>
        </is>
      </c>
      <c r="AB72" s="30" t="inlineStr">
        <is>
          <t>✓ Yes</t>
        </is>
      </c>
    </row>
    <row r="73" ht="18" customHeight="1">
      <c r="A73" s="31" t="inlineStr">
        <is>
          <t>REF-PET-023</t>
        </is>
      </c>
      <c r="B73" s="32" t="inlineStr">
        <is>
          <t>PX-SAU</t>
        </is>
      </c>
      <c r="C73" s="33" t="inlineStr">
        <is>
          <t>Paraxylene Fiber Grade ≥99.7%</t>
        </is>
      </c>
      <c r="D73" s="58" t="inlineStr">
        <is>
          <t>Petrochemicals</t>
        </is>
      </c>
      <c r="E73" s="34" t="inlineStr">
        <is>
          <t>MT</t>
        </is>
      </c>
      <c r="F73" s="35" t="n">
        <v>660</v>
      </c>
      <c r="G73" s="36" t="n">
        <v>870</v>
      </c>
      <c r="H73" s="35" t="n">
        <v>820</v>
      </c>
      <c r="I73" s="35" t="n">
        <v>22</v>
      </c>
      <c r="J73" s="17">
        <f>G73+I73</f>
        <v/>
      </c>
      <c r="K73" s="49">
        <f>(G73-F73)/G73</f>
        <v/>
      </c>
      <c r="L73" s="37" t="inlineStr">
        <is>
          <t>Yanbu, Saudi Arabia</t>
        </is>
      </c>
      <c r="M73" s="37" t="inlineStr">
        <is>
          <t>Busan, South Korea</t>
        </is>
      </c>
      <c r="N73" s="38" t="inlineStr">
        <is>
          <t>Yanbu, Saudi Arabia → Busan, South Korea</t>
        </is>
      </c>
      <c r="O73" s="39" t="n">
        <v>14</v>
      </c>
      <c r="P73" s="40" t="inlineStr">
        <is>
          <t>FOB</t>
        </is>
      </c>
      <c r="Q73" s="41" t="inlineStr">
        <is>
          <t>Saudi Arabia</t>
        </is>
      </c>
      <c r="R73" s="42" t="n">
        <v>0</v>
      </c>
      <c r="S73" s="25">
        <f>J73*(1+R73/100)</f>
        <v/>
      </c>
      <c r="T73" s="37" t="inlineStr">
        <is>
          <t>LC at sight</t>
        </is>
      </c>
      <c r="U73" s="43" t="n">
        <v>46169</v>
      </c>
      <c r="V73" s="43" t="n">
        <v>46199</v>
      </c>
      <c r="W73" s="27">
        <f>V73-TODAY()</f>
        <v/>
      </c>
      <c r="X73" s="44" t="n">
        <v>1000</v>
      </c>
      <c r="Y73" s="45" t="n">
        <v>870000</v>
      </c>
      <c r="Z73" s="38" t="inlineStr">
        <is>
          <t>REACH</t>
        </is>
      </c>
      <c r="AA73" s="39" t="inlineStr">
        <is>
          <t>SGS</t>
        </is>
      </c>
      <c r="AB73" s="30" t="inlineStr">
        <is>
          <t>✓ Yes</t>
        </is>
      </c>
    </row>
    <row r="74" ht="18" customHeight="1">
      <c r="A74" s="10" t="inlineStr">
        <is>
          <t>REF-PET-024</t>
        </is>
      </c>
      <c r="B74" s="11" t="inlineStr">
        <is>
          <t>CBN33</t>
        </is>
      </c>
      <c r="C74" s="12" t="inlineStr">
        <is>
          <t>Carbon Black N330 HAF Grade</t>
        </is>
      </c>
      <c r="D74" s="58" t="inlineStr">
        <is>
          <t>Petrochemicals</t>
        </is>
      </c>
      <c r="E74" s="14" t="inlineStr">
        <is>
          <t>MT</t>
        </is>
      </c>
      <c r="F74" s="15" t="n">
        <v>640</v>
      </c>
      <c r="G74" s="16" t="n">
        <v>870</v>
      </c>
      <c r="H74" s="15" t="n">
        <v>820</v>
      </c>
      <c r="I74" s="15" t="n">
        <v>18</v>
      </c>
      <c r="J74" s="17">
        <f>G74+I74</f>
        <v/>
      </c>
      <c r="K74" s="49">
        <f>(G74-F74)/G74</f>
        <v/>
      </c>
      <c r="L74" s="19" t="inlineStr">
        <is>
          <t>Jeddah, Saudi Arabia</t>
        </is>
      </c>
      <c r="M74" s="19" t="inlineStr">
        <is>
          <t>Istanbul, Turkey</t>
        </is>
      </c>
      <c r="N74" s="20" t="inlineStr">
        <is>
          <t>Jeddah, Saudi Arabia → Istanbul, Turkey</t>
        </is>
      </c>
      <c r="O74" s="21" t="n">
        <v>8</v>
      </c>
      <c r="P74" s="22" t="inlineStr">
        <is>
          <t>FOB</t>
        </is>
      </c>
      <c r="Q74" s="23" t="inlineStr">
        <is>
          <t>Saudi Arabia</t>
        </is>
      </c>
      <c r="R74" s="24" t="n">
        <v>0</v>
      </c>
      <c r="S74" s="25">
        <f>J74*(1+R74/100)</f>
        <v/>
      </c>
      <c r="T74" s="19" t="inlineStr">
        <is>
          <t>LC at sight</t>
        </is>
      </c>
      <c r="U74" s="26" t="n">
        <v>46169</v>
      </c>
      <c r="V74" s="26" t="n">
        <v>46199</v>
      </c>
      <c r="W74" s="27">
        <f>V74-TODAY()</f>
        <v/>
      </c>
      <c r="X74" s="28" t="n">
        <v>100</v>
      </c>
      <c r="Y74" s="29" t="n">
        <v>87000</v>
      </c>
      <c r="Z74" s="20" t="inlineStr">
        <is>
          <t>ASTM D1765</t>
        </is>
      </c>
      <c r="AA74" s="21" t="inlineStr">
        <is>
          <t>SGS</t>
        </is>
      </c>
      <c r="AB74" s="30" t="inlineStr">
        <is>
          <t>✓ Yes</t>
        </is>
      </c>
    </row>
    <row r="75" ht="18" customHeight="1">
      <c r="A75" s="31" t="inlineStr">
        <is>
          <t>REF-PET-030</t>
        </is>
      </c>
      <c r="B75" s="32" t="inlineStr">
        <is>
          <t>BIT-60</t>
        </is>
      </c>
      <c r="C75" s="33" t="inlineStr">
        <is>
          <t>Bitumen 60/70 Pen Saudi</t>
        </is>
      </c>
      <c r="D75" s="58" t="inlineStr">
        <is>
          <t>Petrochemicals</t>
        </is>
      </c>
      <c r="E75" s="34" t="inlineStr">
        <is>
          <t>MT</t>
        </is>
      </c>
      <c r="F75" s="35" t="n">
        <v>250</v>
      </c>
      <c r="G75" s="36" t="n">
        <v>355</v>
      </c>
      <c r="H75" s="35" t="n">
        <v>310</v>
      </c>
      <c r="I75" s="35" t="n">
        <v>20</v>
      </c>
      <c r="J75" s="17">
        <f>G75+I75</f>
        <v/>
      </c>
      <c r="K75" s="49">
        <f>(G75-F75)/G75</f>
        <v/>
      </c>
      <c r="L75" s="37" t="inlineStr">
        <is>
          <t>Jeddah, Saudi Arabia</t>
        </is>
      </c>
      <c r="M75" s="37" t="inlineStr">
        <is>
          <t>Tripoli, Libya</t>
        </is>
      </c>
      <c r="N75" s="38" t="inlineStr">
        <is>
          <t>Jeddah, Saudi Arabia → Tripoli, Libya</t>
        </is>
      </c>
      <c r="O75" s="39" t="n">
        <v>6</v>
      </c>
      <c r="P75" s="40" t="inlineStr">
        <is>
          <t>FOB</t>
        </is>
      </c>
      <c r="Q75" s="41" t="inlineStr">
        <is>
          <t>Saudi Arabia</t>
        </is>
      </c>
      <c r="R75" s="42" t="n">
        <v>0</v>
      </c>
      <c r="S75" s="25">
        <f>J75*(1+R75/100)</f>
        <v/>
      </c>
      <c r="T75" s="37" t="inlineStr">
        <is>
          <t>LC at sight</t>
        </is>
      </c>
      <c r="U75" s="43" t="n">
        <v>46169</v>
      </c>
      <c r="V75" s="43" t="n">
        <v>46199</v>
      </c>
      <c r="W75" s="27">
        <f>V75-TODAY()</f>
        <v/>
      </c>
      <c r="X75" s="44" t="n">
        <v>1000</v>
      </c>
      <c r="Y75" s="45" t="n">
        <v>355000</v>
      </c>
      <c r="Z75" s="38" t="inlineStr">
        <is>
          <t>ASTM D946, EN 12591</t>
        </is>
      </c>
      <c r="AA75" s="39" t="inlineStr">
        <is>
          <t>SGS</t>
        </is>
      </c>
      <c r="AB75" s="30" t="inlineStr">
        <is>
          <t>✓ Yes</t>
        </is>
      </c>
    </row>
    <row r="76" ht="18" customHeight="1">
      <c r="A76" s="10" t="inlineStr">
        <is>
          <t>REF-PET-031</t>
        </is>
      </c>
      <c r="B76" s="11" t="inlineStr">
        <is>
          <t>BIT-UA</t>
        </is>
      </c>
      <c r="C76" s="12" t="inlineStr">
        <is>
          <t>Bitumen 80/100 Pen UAE</t>
        </is>
      </c>
      <c r="D76" s="58" t="inlineStr">
        <is>
          <t>Petrochemicals</t>
        </is>
      </c>
      <c r="E76" s="14" t="inlineStr">
        <is>
          <t>MT</t>
        </is>
      </c>
      <c r="F76" s="15" t="n">
        <v>255</v>
      </c>
      <c r="G76" s="16" t="n">
        <v>365</v>
      </c>
      <c r="H76" s="15" t="n">
        <v>320</v>
      </c>
      <c r="I76" s="15" t="n">
        <v>22</v>
      </c>
      <c r="J76" s="17">
        <f>G76+I76</f>
        <v/>
      </c>
      <c r="K76" s="49">
        <f>(G76-F76)/G76</f>
        <v/>
      </c>
      <c r="L76" s="19" t="inlineStr">
        <is>
          <t>Fujairah, UAE</t>
        </is>
      </c>
      <c r="M76" s="19" t="inlineStr">
        <is>
          <t>Lagos, Nigeria</t>
        </is>
      </c>
      <c r="N76" s="20" t="inlineStr">
        <is>
          <t>Fujairah, UAE → Lagos, Nigeria</t>
        </is>
      </c>
      <c r="O76" s="21" t="n">
        <v>14</v>
      </c>
      <c r="P76" s="22" t="inlineStr">
        <is>
          <t>FOB</t>
        </is>
      </c>
      <c r="Q76" s="23" t="inlineStr">
        <is>
          <t>UAE</t>
        </is>
      </c>
      <c r="R76" s="24" t="n">
        <v>0</v>
      </c>
      <c r="S76" s="25">
        <f>J76*(1+R76/100)</f>
        <v/>
      </c>
      <c r="T76" s="19" t="inlineStr">
        <is>
          <t>LC at sight</t>
        </is>
      </c>
      <c r="U76" s="26" t="n">
        <v>46169</v>
      </c>
      <c r="V76" s="26" t="n">
        <v>46199</v>
      </c>
      <c r="W76" s="27">
        <f>V76-TODAY()</f>
        <v/>
      </c>
      <c r="X76" s="28" t="n">
        <v>1000</v>
      </c>
      <c r="Y76" s="29" t="n">
        <v>365000</v>
      </c>
      <c r="Z76" s="20" t="inlineStr">
        <is>
          <t>EN 12591</t>
        </is>
      </c>
      <c r="AA76" s="21" t="inlineStr">
        <is>
          <t>SGS</t>
        </is>
      </c>
      <c r="AB76" s="30" t="inlineStr">
        <is>
          <t>✓ Yes</t>
        </is>
      </c>
    </row>
    <row r="77" ht="18" customHeight="1">
      <c r="A77" s="31" t="inlineStr">
        <is>
          <t>REF-PET-032</t>
        </is>
      </c>
      <c r="B77" s="32" t="inlineStr">
        <is>
          <t>BOG2</t>
        </is>
      </c>
      <c r="C77" s="33" t="inlineStr">
        <is>
          <t>Base Oil Group II SN150</t>
        </is>
      </c>
      <c r="D77" s="58" t="inlineStr">
        <is>
          <t>Petrochemicals</t>
        </is>
      </c>
      <c r="E77" s="34" t="inlineStr">
        <is>
          <t>MT</t>
        </is>
      </c>
      <c r="F77" s="35" t="n">
        <v>540</v>
      </c>
      <c r="G77" s="36" t="n">
        <v>720</v>
      </c>
      <c r="H77" s="35" t="n">
        <v>680</v>
      </c>
      <c r="I77" s="35" t="n">
        <v>24</v>
      </c>
      <c r="J77" s="17">
        <f>G77+I77</f>
        <v/>
      </c>
      <c r="K77" s="49">
        <f>(G77-F77)/G77</f>
        <v/>
      </c>
      <c r="L77" s="37" t="inlineStr">
        <is>
          <t>Al-Jubail, Saudi Arabia</t>
        </is>
      </c>
      <c r="M77" s="37" t="inlineStr">
        <is>
          <t>Mumbai, India</t>
        </is>
      </c>
      <c r="N77" s="38" t="inlineStr">
        <is>
          <t>Al-Jubail, Saudi Arabia → Mumbai, India</t>
        </is>
      </c>
      <c r="O77" s="39" t="n">
        <v>10</v>
      </c>
      <c r="P77" s="40" t="inlineStr">
        <is>
          <t>FOB</t>
        </is>
      </c>
      <c r="Q77" s="41" t="inlineStr">
        <is>
          <t>Saudi Arabia</t>
        </is>
      </c>
      <c r="R77" s="42" t="n">
        <v>0</v>
      </c>
      <c r="S77" s="25">
        <f>J77*(1+R77/100)</f>
        <v/>
      </c>
      <c r="T77" s="37" t="inlineStr">
        <is>
          <t>LC 30 days</t>
        </is>
      </c>
      <c r="U77" s="43" t="n">
        <v>46169</v>
      </c>
      <c r="V77" s="43" t="n">
        <v>46199</v>
      </c>
      <c r="W77" s="27">
        <f>V77-TODAY()</f>
        <v/>
      </c>
      <c r="X77" s="44" t="n">
        <v>1000</v>
      </c>
      <c r="Y77" s="45" t="n">
        <v>720000</v>
      </c>
      <c r="Z77" s="38" t="inlineStr">
        <is>
          <t>API Group II</t>
        </is>
      </c>
      <c r="AA77" s="39" t="inlineStr">
        <is>
          <t>SGS</t>
        </is>
      </c>
      <c r="AB77" s="30" t="inlineStr">
        <is>
          <t>✓ Yes</t>
        </is>
      </c>
    </row>
    <row r="78" ht="20" customHeight="1">
      <c r="A78" s="59" t="inlineStr">
        <is>
          <t>TOTALS  (72 products)</t>
        </is>
      </c>
      <c r="B78" s="59" t="inlineStr"/>
      <c r="C78" s="60" t="n"/>
      <c r="D78" s="60" t="n"/>
      <c r="E78" s="60" t="n"/>
      <c r="F78" s="61">
        <f>AVERAGE(F6:F77)</f>
        <v/>
      </c>
      <c r="G78" s="61">
        <f>AVERAGE(G6:G77)</f>
        <v/>
      </c>
      <c r="H78" s="61">
        <f>AVERAGE(H6:H77)</f>
        <v/>
      </c>
      <c r="I78" s="61">
        <f>AVERAGE(I6:I77)</f>
        <v/>
      </c>
      <c r="J78" s="61">
        <f>AVERAGE(J6:J77)</f>
        <v/>
      </c>
      <c r="K78" s="62">
        <f>AVERAGE(K6:K77)</f>
        <v/>
      </c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3">
        <f>SUM(Y6:Y77)</f>
        <v/>
      </c>
      <c r="Z78" s="60" t="n"/>
      <c r="AA78" s="60" t="n"/>
      <c r="AB78" s="60" t="n"/>
    </row>
  </sheetData>
  <mergeCells count="8">
    <mergeCell ref="A2:AB2"/>
    <mergeCell ref="L4:P4"/>
    <mergeCell ref="A4:E4"/>
    <mergeCell ref="T4:W4"/>
    <mergeCell ref="Q4:S4"/>
    <mergeCell ref="A1:AB1"/>
    <mergeCell ref="F4:K4"/>
    <mergeCell ref="X4:A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35"/>
    <outlinePr summaryBelow="1" summaryRight="1"/>
    <pageSetUpPr/>
  </sheetPr>
  <dimension ref="A1:R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7" customWidth="1" min="4" max="4"/>
    <col width="18" customWidth="1" min="5" max="5"/>
    <col width="20" customWidth="1" min="6" max="6"/>
    <col width="20" customWidth="1" min="7" max="7"/>
    <col width="18" customWidth="1" min="8" max="8"/>
    <col width="10" customWidth="1" min="9" max="9"/>
    <col width="14" customWidth="1" min="10" max="10"/>
    <col width="18" customWidth="1" min="11" max="11"/>
    <col width="12" customWidth="1" min="12" max="12"/>
    <col width="18" customWidth="1" min="13" max="13"/>
    <col width="18" customWidth="1" min="14" max="14"/>
    <col width="18" customWidth="1" min="15" max="15"/>
    <col width="12" customWidth="1" min="16" max="16"/>
    <col width="16" customWidth="1" min="17" max="17"/>
    <col width="16" customWidth="1" min="18" max="18"/>
  </cols>
  <sheetData>
    <row r="1" ht="28" customHeight="1">
      <c r="A1" s="1" t="inlineStr">
        <is>
          <t>SLOI AI — Negotiation Parameters  ·  72 Products  ·  These parameters drive the AI negotiation agent</t>
        </is>
      </c>
    </row>
    <row r="2" ht="18" customHeight="1">
      <c r="A2" s="2" t="inlineStr">
        <is>
          <t xml:space="preserve">  🔵 Blue = editable input    🟢 Green = auto-calc    Strategy: standard (5 rds) | aggressive (7 rds)    Walk-Away = absolute floor — never crossed</t>
        </is>
      </c>
    </row>
    <row r="3" ht="4" customHeight="1"/>
    <row r="4" ht="16" customHeight="1">
      <c r="A4" s="3" t="inlineStr">
        <is>
          <t>PRODUCT</t>
        </is>
      </c>
      <c r="E4" s="4" t="inlineStr">
        <is>
          <t>PRICE ANCHORS</t>
        </is>
      </c>
      <c r="I4" s="5" t="inlineStr">
        <is>
          <t>AGENT BEHAVIOR</t>
        </is>
      </c>
      <c r="M4" s="6" t="inlineStr">
        <is>
          <t>VOLUME DISCOUNTS</t>
        </is>
      </c>
      <c r="P4" s="7" t="inlineStr">
        <is>
          <t>AUTONOMOUS SETTINGS</t>
        </is>
      </c>
    </row>
    <row r="5" ht="32" customHeight="1">
      <c r="A5" s="9" t="inlineStr">
        <is>
          <t>REF Code</t>
        </is>
      </c>
      <c r="B5" s="9" t="inlineStr">
        <is>
          <t>SKU</t>
        </is>
      </c>
      <c r="C5" s="9" t="inlineStr">
        <is>
          <t>Product Name</t>
        </is>
      </c>
      <c r="D5" s="9" t="inlineStr">
        <is>
          <t>Unit</t>
        </is>
      </c>
      <c r="E5" s="9" t="inlineStr">
        <is>
          <t>Market Price ($/unit)</t>
        </is>
      </c>
      <c r="F5" s="9" t="inlineStr">
        <is>
          <t>Walk-Away Floor ($/unit)</t>
        </is>
      </c>
      <c r="G5" s="9" t="inlineStr">
        <is>
          <t>Opening Offer ($/unit)</t>
        </is>
      </c>
      <c r="H5" s="9" t="inlineStr">
        <is>
          <t>Broker Floor ($/unit)</t>
        </is>
      </c>
      <c r="I5" s="9" t="inlineStr">
        <is>
          <t>Max Rounds</t>
        </is>
      </c>
      <c r="J5" s="9" t="inlineStr">
        <is>
          <t>Opening Offer %</t>
        </is>
      </c>
      <c r="K5" s="9" t="inlineStr">
        <is>
          <t>Concession / Round %</t>
        </is>
      </c>
      <c r="L5" s="9" t="inlineStr">
        <is>
          <t>Strategy</t>
        </is>
      </c>
      <c r="M5" s="9" t="inlineStr">
        <is>
          <t>Vol Disc 1 (qty / %)</t>
        </is>
      </c>
      <c r="N5" s="9" t="inlineStr">
        <is>
          <t>Vol Disc 2 (qty / %)</t>
        </is>
      </c>
      <c r="O5" s="9" t="inlineStr">
        <is>
          <t>Vol Disc 3 (qty / %)</t>
        </is>
      </c>
      <c r="P5" s="9" t="inlineStr">
        <is>
          <t>Auto-Approve</t>
        </is>
      </c>
      <c r="Q5" s="9" t="inlineStr">
        <is>
          <t>Daily Cap (orders)</t>
        </is>
      </c>
      <c r="R5" s="9" t="inlineStr">
        <is>
          <t>Daily Cap (USD)</t>
        </is>
      </c>
    </row>
    <row r="6" ht="16" customHeight="1">
      <c r="A6" s="64" t="inlineStr">
        <is>
          <t>REF-MET-001</t>
        </is>
      </c>
      <c r="B6" s="65" t="inlineStr">
        <is>
          <t>STL-12</t>
        </is>
      </c>
      <c r="C6" s="66" t="inlineStr">
        <is>
          <t>Steel Rebar G60 12mm</t>
        </is>
      </c>
      <c r="D6" s="67" t="inlineStr">
        <is>
          <t>MT</t>
        </is>
      </c>
      <c r="E6" s="16" t="n">
        <v>2840</v>
      </c>
      <c r="F6" s="15" t="n">
        <v>2700</v>
      </c>
      <c r="G6" s="15" t="n">
        <v>2960</v>
      </c>
      <c r="H6" s="15" t="n">
        <v>2720</v>
      </c>
      <c r="I6" s="68" t="n">
        <v>5</v>
      </c>
      <c r="J6" s="69" t="inlineStr">
        <is>
          <t>4.5%</t>
        </is>
      </c>
      <c r="K6" s="69" t="inlineStr">
        <is>
          <t>2.0%</t>
        </is>
      </c>
      <c r="L6" s="30" t="inlineStr">
        <is>
          <t>STANDARD</t>
        </is>
      </c>
      <c r="M6" s="64" t="inlineStr">
        <is>
          <t>100 MT / 1%</t>
        </is>
      </c>
      <c r="N6" s="64" t="inlineStr">
        <is>
          <t>500 MT / 2%</t>
        </is>
      </c>
      <c r="O6" s="64" t="inlineStr">
        <is>
          <t>1,000 MT / 3%</t>
        </is>
      </c>
      <c r="P6" s="30" t="inlineStr">
        <is>
          <t>✓ YES</t>
        </is>
      </c>
      <c r="Q6" s="28" t="n">
        <v>3</v>
      </c>
      <c r="R6" s="70" t="n">
        <v>500000</v>
      </c>
    </row>
    <row r="7" ht="16" customHeight="1">
      <c r="A7" s="71" t="inlineStr">
        <is>
          <t>REF-MET-001</t>
        </is>
      </c>
      <c r="B7" s="72" t="inlineStr">
        <is>
          <t>STL-HRC</t>
        </is>
      </c>
      <c r="C7" s="73" t="inlineStr">
        <is>
          <t>Steel HR Coil SS400</t>
        </is>
      </c>
      <c r="D7" s="74" t="inlineStr">
        <is>
          <t>MT</t>
        </is>
      </c>
      <c r="E7" s="36" t="n">
        <v>3100</v>
      </c>
      <c r="F7" s="35" t="n">
        <v>2950</v>
      </c>
      <c r="G7" s="35" t="n">
        <v>3220</v>
      </c>
      <c r="H7" s="35" t="n">
        <v>2950</v>
      </c>
      <c r="I7" s="75" t="n">
        <v>5</v>
      </c>
      <c r="J7" s="76" t="inlineStr">
        <is>
          <t>3.9%</t>
        </is>
      </c>
      <c r="K7" s="76" t="inlineStr">
        <is>
          <t>1.8%</t>
        </is>
      </c>
      <c r="L7" s="30" t="inlineStr">
        <is>
          <t>STANDARD</t>
        </is>
      </c>
      <c r="M7" s="71" t="inlineStr">
        <is>
          <t>50 MT / 1%</t>
        </is>
      </c>
      <c r="N7" s="71" t="inlineStr">
        <is>
          <t>200 MT / 2%</t>
        </is>
      </c>
      <c r="O7" s="71" t="inlineStr">
        <is>
          <t>500 MT / 3%</t>
        </is>
      </c>
      <c r="P7" s="30" t="inlineStr">
        <is>
          <t>✓ YES</t>
        </is>
      </c>
      <c r="Q7" s="44" t="n">
        <v>2</v>
      </c>
      <c r="R7" s="77" t="n">
        <v>300000</v>
      </c>
    </row>
    <row r="8" ht="16" customHeight="1">
      <c r="A8" s="64" t="inlineStr">
        <is>
          <t>REF-MET-001</t>
        </is>
      </c>
      <c r="B8" s="65" t="inlineStr">
        <is>
          <t>STL-CRC</t>
        </is>
      </c>
      <c r="C8" s="66" t="inlineStr">
        <is>
          <t>Steel CR Coil DC01</t>
        </is>
      </c>
      <c r="D8" s="67" t="inlineStr">
        <is>
          <t>MT</t>
        </is>
      </c>
      <c r="E8" s="16" t="n">
        <v>3400</v>
      </c>
      <c r="F8" s="15" t="n">
        <v>3200</v>
      </c>
      <c r="G8" s="15" t="n">
        <v>3550</v>
      </c>
      <c r="H8" s="15" t="n">
        <v>3220</v>
      </c>
      <c r="I8" s="68" t="n">
        <v>4</v>
      </c>
      <c r="J8" s="69" t="inlineStr">
        <is>
          <t>4.4%</t>
        </is>
      </c>
      <c r="K8" s="69" t="inlineStr">
        <is>
          <t>2.0%</t>
        </is>
      </c>
      <c r="L8" s="78" t="inlineStr">
        <is>
          <t>AGGRESSIVE</t>
        </is>
      </c>
      <c r="M8" s="64" t="inlineStr">
        <is>
          <t>20 MT / 1%</t>
        </is>
      </c>
      <c r="N8" s="64" t="inlineStr">
        <is>
          <t>100 MT / 2%</t>
        </is>
      </c>
      <c r="O8" s="64" t="inlineStr">
        <is>
          <t>500 MT / 3%</t>
        </is>
      </c>
      <c r="P8" s="78" t="inlineStr">
        <is>
          <t>✗ NO</t>
        </is>
      </c>
      <c r="Q8" s="28" t="n">
        <v>1</v>
      </c>
      <c r="R8" s="70" t="n">
        <v>200000</v>
      </c>
    </row>
    <row r="9" ht="16" customHeight="1">
      <c r="A9" s="71" t="inlineStr">
        <is>
          <t>REF-MET-002</t>
        </is>
      </c>
      <c r="B9" s="72" t="inlineStr">
        <is>
          <t>ALU-6061</t>
        </is>
      </c>
      <c r="C9" s="73" t="inlineStr">
        <is>
          <t>Aluminum 6061-T6</t>
        </is>
      </c>
      <c r="D9" s="74" t="inlineStr">
        <is>
          <t>MT</t>
        </is>
      </c>
      <c r="E9" s="36" t="n">
        <v>9200</v>
      </c>
      <c r="F9" s="35" t="n">
        <v>8800</v>
      </c>
      <c r="G9" s="35" t="n">
        <v>9560</v>
      </c>
      <c r="H9" s="35" t="n">
        <v>8800</v>
      </c>
      <c r="I9" s="75" t="n">
        <v>5</v>
      </c>
      <c r="J9" s="76" t="inlineStr">
        <is>
          <t>3.9%</t>
        </is>
      </c>
      <c r="K9" s="76" t="inlineStr">
        <is>
          <t>1.5%</t>
        </is>
      </c>
      <c r="L9" s="30" t="inlineStr">
        <is>
          <t>STANDARD</t>
        </is>
      </c>
      <c r="M9" s="71" t="inlineStr">
        <is>
          <t>5 MT / 0.5%</t>
        </is>
      </c>
      <c r="N9" s="71" t="inlineStr">
        <is>
          <t>20 MT / 1%</t>
        </is>
      </c>
      <c r="O9" s="71" t="inlineStr">
        <is>
          <t>100 MT / 2%</t>
        </is>
      </c>
      <c r="P9" s="78" t="inlineStr">
        <is>
          <t>✗ NO</t>
        </is>
      </c>
      <c r="Q9" s="44" t="n">
        <v>1</v>
      </c>
      <c r="R9" s="77" t="n">
        <v>100000</v>
      </c>
    </row>
    <row r="10" ht="16" customHeight="1">
      <c r="A10" s="64" t="inlineStr">
        <is>
          <t>REF-MET-002</t>
        </is>
      </c>
      <c r="B10" s="65" t="inlineStr">
        <is>
          <t>ALU-PRF</t>
        </is>
      </c>
      <c r="C10" s="66" t="inlineStr">
        <is>
          <t>Aluminum Profiles</t>
        </is>
      </c>
      <c r="D10" s="67" t="inlineStr">
        <is>
          <t>m</t>
        </is>
      </c>
      <c r="E10" s="16" t="n">
        <v>38</v>
      </c>
      <c r="F10" s="15" t="n">
        <v>35</v>
      </c>
      <c r="G10" s="15" t="n">
        <v>39.5</v>
      </c>
      <c r="H10" s="15" t="n">
        <v>35</v>
      </c>
      <c r="I10" s="68" t="n">
        <v>4</v>
      </c>
      <c r="J10" s="69" t="inlineStr">
        <is>
          <t>4.0%</t>
        </is>
      </c>
      <c r="K10" s="69" t="inlineStr">
        <is>
          <t>2.0%</t>
        </is>
      </c>
      <c r="L10" s="30" t="inlineStr">
        <is>
          <t>STANDARD</t>
        </is>
      </c>
      <c r="M10" s="64" t="inlineStr">
        <is>
          <t>500 m / 1%</t>
        </is>
      </c>
      <c r="N10" s="64" t="inlineStr">
        <is>
          <t>2,000 m / 2%</t>
        </is>
      </c>
      <c r="O10" s="64" t="inlineStr">
        <is>
          <t>10,000 m / 3%</t>
        </is>
      </c>
      <c r="P10" s="78" t="inlineStr">
        <is>
          <t>✗ NO</t>
        </is>
      </c>
      <c r="Q10" s="28" t="n">
        <v>1</v>
      </c>
      <c r="R10" s="70" t="n">
        <v>50000</v>
      </c>
    </row>
    <row r="11" ht="16" customHeight="1">
      <c r="A11" s="71" t="inlineStr">
        <is>
          <t>REF-MET-003</t>
        </is>
      </c>
      <c r="B11" s="72" t="inlineStr">
        <is>
          <t>CPR-ETP</t>
        </is>
      </c>
      <c r="C11" s="73" t="inlineStr">
        <is>
          <t>Copper ETP Rod 8mm</t>
        </is>
      </c>
      <c r="D11" s="74" t="inlineStr">
        <is>
          <t>MT</t>
        </is>
      </c>
      <c r="E11" s="36" t="n">
        <v>9800</v>
      </c>
      <c r="F11" s="35" t="n">
        <v>9300</v>
      </c>
      <c r="G11" s="35" t="n">
        <v>10200</v>
      </c>
      <c r="H11" s="35" t="n">
        <v>9300</v>
      </c>
      <c r="I11" s="75" t="n">
        <v>5</v>
      </c>
      <c r="J11" s="76" t="inlineStr">
        <is>
          <t>4.1%</t>
        </is>
      </c>
      <c r="K11" s="76" t="inlineStr">
        <is>
          <t>1.5%</t>
        </is>
      </c>
      <c r="L11" s="78" t="inlineStr">
        <is>
          <t>AGGRESSIVE</t>
        </is>
      </c>
      <c r="M11" s="71" t="inlineStr">
        <is>
          <t>5 MT / 0.5%</t>
        </is>
      </c>
      <c r="N11" s="71" t="inlineStr">
        <is>
          <t>20 MT / 1.5%</t>
        </is>
      </c>
      <c r="O11" s="71" t="inlineStr">
        <is>
          <t>50 MT / 2.5%</t>
        </is>
      </c>
      <c r="P11" s="78" t="inlineStr">
        <is>
          <t>✗ NO</t>
        </is>
      </c>
      <c r="Q11" s="44" t="n">
        <v>1</v>
      </c>
      <c r="R11" s="77" t="n">
        <v>150000</v>
      </c>
    </row>
    <row r="12" ht="16" customHeight="1">
      <c r="A12" s="64" t="inlineStr">
        <is>
          <t>REF-BLD-001</t>
        </is>
      </c>
      <c r="B12" s="65" t="inlineStr">
        <is>
          <t>BLK-200</t>
        </is>
      </c>
      <c r="C12" s="66" t="inlineStr">
        <is>
          <t>Concrete Block 20cm</t>
        </is>
      </c>
      <c r="D12" s="67" t="inlineStr">
        <is>
          <t>Unit</t>
        </is>
      </c>
      <c r="E12" s="16" t="n">
        <v>4.8</v>
      </c>
      <c r="F12" s="15" t="n">
        <v>4.2</v>
      </c>
      <c r="G12" s="15" t="n">
        <v>5</v>
      </c>
      <c r="H12" s="15" t="n">
        <v>4.2</v>
      </c>
      <c r="I12" s="68" t="n">
        <v>4</v>
      </c>
      <c r="J12" s="69" t="inlineStr">
        <is>
          <t>4.2%</t>
        </is>
      </c>
      <c r="K12" s="69" t="inlineStr">
        <is>
          <t>2.0%</t>
        </is>
      </c>
      <c r="L12" s="30" t="inlineStr">
        <is>
          <t>STANDARD</t>
        </is>
      </c>
      <c r="M12" s="64" t="inlineStr">
        <is>
          <t>1,000 / 1%</t>
        </is>
      </c>
      <c r="N12" s="64" t="inlineStr">
        <is>
          <t>5,000 / 2%</t>
        </is>
      </c>
      <c r="O12" s="64" t="inlineStr">
        <is>
          <t>20,000 / 3%</t>
        </is>
      </c>
      <c r="P12" s="30" t="inlineStr">
        <is>
          <t>✓ YES</t>
        </is>
      </c>
      <c r="Q12" s="28" t="n">
        <v>5</v>
      </c>
      <c r="R12" s="70" t="n">
        <v>200000</v>
      </c>
    </row>
    <row r="13" ht="16" customHeight="1">
      <c r="A13" s="71" t="inlineStr">
        <is>
          <t>REF-BLD-001</t>
        </is>
      </c>
      <c r="B13" s="72" t="inlineStr">
        <is>
          <t>CNC-B25</t>
        </is>
      </c>
      <c r="C13" s="73" t="inlineStr">
        <is>
          <t>Ready-Mix Concrete B25</t>
        </is>
      </c>
      <c r="D13" s="74" t="inlineStr">
        <is>
          <t>m³</t>
        </is>
      </c>
      <c r="E13" s="36" t="n">
        <v>380</v>
      </c>
      <c r="F13" s="35" t="n">
        <v>345</v>
      </c>
      <c r="G13" s="35" t="n">
        <v>395</v>
      </c>
      <c r="H13" s="35" t="n">
        <v>345</v>
      </c>
      <c r="I13" s="75" t="n">
        <v>3</v>
      </c>
      <c r="J13" s="76" t="inlineStr">
        <is>
          <t>3.9%</t>
        </is>
      </c>
      <c r="K13" s="76" t="inlineStr">
        <is>
          <t>2.5%</t>
        </is>
      </c>
      <c r="L13" s="30" t="inlineStr">
        <is>
          <t>STANDARD</t>
        </is>
      </c>
      <c r="M13" s="71" t="inlineStr">
        <is>
          <t>10 m³ / 1%</t>
        </is>
      </c>
      <c r="N13" s="71" t="inlineStr">
        <is>
          <t>50 m³ / 2%</t>
        </is>
      </c>
      <c r="O13" s="71" t="inlineStr">
        <is>
          <t>200 m³ / 3%</t>
        </is>
      </c>
      <c r="P13" s="30" t="inlineStr">
        <is>
          <t>✓ YES</t>
        </is>
      </c>
      <c r="Q13" s="44" t="n">
        <v>5</v>
      </c>
      <c r="R13" s="77" t="n">
        <v>100000</v>
      </c>
    </row>
    <row r="14" ht="16" customHeight="1">
      <c r="A14" s="64" t="inlineStr">
        <is>
          <t>REF-BLD-002</t>
        </is>
      </c>
      <c r="B14" s="65" t="inlineStr">
        <is>
          <t>TLE-6060</t>
        </is>
      </c>
      <c r="C14" s="66" t="inlineStr">
        <is>
          <t>Porcelain Tile 60×60cm</t>
        </is>
      </c>
      <c r="D14" s="67" t="inlineStr">
        <is>
          <t>m²</t>
        </is>
      </c>
      <c r="E14" s="16" t="n">
        <v>62</v>
      </c>
      <c r="F14" s="15" t="n">
        <v>55</v>
      </c>
      <c r="G14" s="15" t="n">
        <v>64</v>
      </c>
      <c r="H14" s="15" t="n">
        <v>55</v>
      </c>
      <c r="I14" s="68" t="n">
        <v>4</v>
      </c>
      <c r="J14" s="69" t="inlineStr">
        <is>
          <t>3.2%</t>
        </is>
      </c>
      <c r="K14" s="69" t="inlineStr">
        <is>
          <t>1.5%</t>
        </is>
      </c>
      <c r="L14" s="30" t="inlineStr">
        <is>
          <t>STANDARD</t>
        </is>
      </c>
      <c r="M14" s="64" t="inlineStr">
        <is>
          <t>100 m² / 1%</t>
        </is>
      </c>
      <c r="N14" s="64" t="inlineStr">
        <is>
          <t>500 m² / 2%</t>
        </is>
      </c>
      <c r="O14" s="64" t="inlineStr">
        <is>
          <t>2,000 m² / 3%</t>
        </is>
      </c>
      <c r="P14" s="78" t="inlineStr">
        <is>
          <t>✗ NO</t>
        </is>
      </c>
      <c r="Q14" s="28" t="n">
        <v>1</v>
      </c>
      <c r="R14" s="70" t="n">
        <v>50000</v>
      </c>
    </row>
    <row r="15" ht="16" customHeight="1">
      <c r="A15" s="71" t="inlineStr">
        <is>
          <t>REF-BLD-003</t>
        </is>
      </c>
      <c r="B15" s="72" t="inlineStr">
        <is>
          <t>PVC-110</t>
        </is>
      </c>
      <c r="C15" s="73" t="inlineStr">
        <is>
          <t>PVC Pipe 110mm SDR34</t>
        </is>
      </c>
      <c r="D15" s="74" t="inlineStr">
        <is>
          <t>m</t>
        </is>
      </c>
      <c r="E15" s="36" t="n">
        <v>28</v>
      </c>
      <c r="F15" s="35" t="n">
        <v>25</v>
      </c>
      <c r="G15" s="35" t="n">
        <v>29</v>
      </c>
      <c r="H15" s="35" t="n">
        <v>25</v>
      </c>
      <c r="I15" s="75" t="n">
        <v>4</v>
      </c>
      <c r="J15" s="76" t="inlineStr">
        <is>
          <t>3.6%</t>
        </is>
      </c>
      <c r="K15" s="76" t="inlineStr">
        <is>
          <t>2.0%</t>
        </is>
      </c>
      <c r="L15" s="30" t="inlineStr">
        <is>
          <t>STANDARD</t>
        </is>
      </c>
      <c r="M15" s="71" t="inlineStr">
        <is>
          <t>500 m / 1%</t>
        </is>
      </c>
      <c r="N15" s="71" t="inlineStr">
        <is>
          <t>2,000 m / 2%</t>
        </is>
      </c>
      <c r="O15" s="71" t="inlineStr">
        <is>
          <t>10,000 m / 3%</t>
        </is>
      </c>
      <c r="P15" s="78" t="inlineStr">
        <is>
          <t>✗ NO</t>
        </is>
      </c>
      <c r="Q15" s="44" t="n">
        <v>1</v>
      </c>
      <c r="R15" s="77" t="n">
        <v>30000</v>
      </c>
    </row>
    <row r="16" ht="16" customHeight="1">
      <c r="A16" s="64" t="inlineStr">
        <is>
          <t>REF-BLD-004</t>
        </is>
      </c>
      <c r="B16" s="65" t="inlineStr">
        <is>
          <t>STL-STR</t>
        </is>
      </c>
      <c r="C16" s="66" t="inlineStr">
        <is>
          <t>Structural Steel H-Beam</t>
        </is>
      </c>
      <c r="D16" s="67" t="inlineStr">
        <is>
          <t>MT</t>
        </is>
      </c>
      <c r="E16" s="16" t="n">
        <v>3200</v>
      </c>
      <c r="F16" s="15" t="n">
        <v>3050</v>
      </c>
      <c r="G16" s="15" t="n">
        <v>3320</v>
      </c>
      <c r="H16" s="15" t="n">
        <v>3050</v>
      </c>
      <c r="I16" s="68" t="n">
        <v>5</v>
      </c>
      <c r="J16" s="69" t="inlineStr">
        <is>
          <t>3.8%</t>
        </is>
      </c>
      <c r="K16" s="69" t="inlineStr">
        <is>
          <t>1.8%</t>
        </is>
      </c>
      <c r="L16" s="30" t="inlineStr">
        <is>
          <t>STANDARD</t>
        </is>
      </c>
      <c r="M16" s="64" t="inlineStr">
        <is>
          <t>10 MT / 1%</t>
        </is>
      </c>
      <c r="N16" s="64" t="inlineStr">
        <is>
          <t>50 MT / 2%</t>
        </is>
      </c>
      <c r="O16" s="64" t="inlineStr">
        <is>
          <t>200 MT / 3%</t>
        </is>
      </c>
      <c r="P16" s="30" t="inlineStr">
        <is>
          <t>✓ YES</t>
        </is>
      </c>
      <c r="Q16" s="28" t="n">
        <v>2</v>
      </c>
      <c r="R16" s="70" t="n">
        <v>300000</v>
      </c>
    </row>
    <row r="17" ht="16" customHeight="1">
      <c r="A17" s="71" t="inlineStr">
        <is>
          <t>REF-ENE-001</t>
        </is>
      </c>
      <c r="B17" s="72" t="inlineStr">
        <is>
          <t>DSL-B2</t>
        </is>
      </c>
      <c r="C17" s="73" t="inlineStr">
        <is>
          <t>Industrial Diesel B2</t>
        </is>
      </c>
      <c r="D17" s="74" t="inlineStr">
        <is>
          <t>Liter</t>
        </is>
      </c>
      <c r="E17" s="36" t="n">
        <v>4.92</v>
      </c>
      <c r="F17" s="35" t="n">
        <v>4.5</v>
      </c>
      <c r="G17" s="35" t="n">
        <v>5.1</v>
      </c>
      <c r="H17" s="35" t="n">
        <v>4.5</v>
      </c>
      <c r="I17" s="75" t="n">
        <v>3</v>
      </c>
      <c r="J17" s="76" t="inlineStr">
        <is>
          <t>3.7%</t>
        </is>
      </c>
      <c r="K17" s="76" t="inlineStr">
        <is>
          <t>2.0%</t>
        </is>
      </c>
      <c r="L17" s="30" t="inlineStr">
        <is>
          <t>STANDARD</t>
        </is>
      </c>
      <c r="M17" s="71" t="inlineStr">
        <is>
          <t>5,000 L / 1%</t>
        </is>
      </c>
      <c r="N17" s="71" t="inlineStr">
        <is>
          <t>20,000 L / 2%</t>
        </is>
      </c>
      <c r="O17" s="71" t="inlineStr">
        <is>
          <t>100,000 L / 3%</t>
        </is>
      </c>
      <c r="P17" s="30" t="inlineStr">
        <is>
          <t>✓ YES</t>
        </is>
      </c>
      <c r="Q17" s="44" t="n">
        <v>5</v>
      </c>
      <c r="R17" s="77" t="n">
        <v>500000</v>
      </c>
    </row>
    <row r="18" ht="16" customHeight="1">
      <c r="A18" s="64" t="inlineStr">
        <is>
          <t>REF-ENE-001</t>
        </is>
      </c>
      <c r="B18" s="65" t="inlineStr">
        <is>
          <t>DSL-B5</t>
        </is>
      </c>
      <c r="C18" s="66" t="inlineStr">
        <is>
          <t>Biodiesel B5</t>
        </is>
      </c>
      <c r="D18" s="67" t="inlineStr">
        <is>
          <t>Liter</t>
        </is>
      </c>
      <c r="E18" s="16" t="n">
        <v>5.15</v>
      </c>
      <c r="F18" s="15" t="n">
        <v>4.7</v>
      </c>
      <c r="G18" s="15" t="n">
        <v>5.35</v>
      </c>
      <c r="H18" s="15" t="n">
        <v>4.7</v>
      </c>
      <c r="I18" s="68" t="n">
        <v>3</v>
      </c>
      <c r="J18" s="69" t="inlineStr">
        <is>
          <t>3.9%</t>
        </is>
      </c>
      <c r="K18" s="69" t="inlineStr">
        <is>
          <t>2.0%</t>
        </is>
      </c>
      <c r="L18" s="30" t="inlineStr">
        <is>
          <t>STANDARD</t>
        </is>
      </c>
      <c r="M18" s="64" t="inlineStr">
        <is>
          <t>5,000 L / 1%</t>
        </is>
      </c>
      <c r="N18" s="64" t="inlineStr">
        <is>
          <t>20,000 L / 2%</t>
        </is>
      </c>
      <c r="O18" s="64" t="inlineStr">
        <is>
          <t>100,000 L / 3%</t>
        </is>
      </c>
      <c r="P18" s="30" t="inlineStr">
        <is>
          <t>✓ YES</t>
        </is>
      </c>
      <c r="Q18" s="28" t="n">
        <v>3</v>
      </c>
      <c r="R18" s="70" t="n">
        <v>300000</v>
      </c>
    </row>
    <row r="19" ht="16" customHeight="1">
      <c r="A19" s="71" t="inlineStr">
        <is>
          <t>REF-ENE-002</t>
        </is>
      </c>
      <c r="B19" s="72" t="inlineStr">
        <is>
          <t>LFO-380</t>
        </is>
      </c>
      <c r="C19" s="73" t="inlineStr">
        <is>
          <t>Fuel Oil 380 CST</t>
        </is>
      </c>
      <c r="D19" s="74" t="inlineStr">
        <is>
          <t>MT</t>
        </is>
      </c>
      <c r="E19" s="36" t="n">
        <v>510</v>
      </c>
      <c r="F19" s="35" t="n">
        <v>470</v>
      </c>
      <c r="G19" s="35" t="n">
        <v>530</v>
      </c>
      <c r="H19" s="35" t="n">
        <v>470</v>
      </c>
      <c r="I19" s="75" t="n">
        <v>4</v>
      </c>
      <c r="J19" s="76" t="inlineStr">
        <is>
          <t>3.9%</t>
        </is>
      </c>
      <c r="K19" s="76" t="inlineStr">
        <is>
          <t>1.5%</t>
        </is>
      </c>
      <c r="L19" s="78" t="inlineStr">
        <is>
          <t>AGGRESSIVE</t>
        </is>
      </c>
      <c r="M19" s="71" t="inlineStr">
        <is>
          <t>100 MT / 1%</t>
        </is>
      </c>
      <c r="N19" s="71" t="inlineStr">
        <is>
          <t>500 MT / 2%</t>
        </is>
      </c>
      <c r="O19" s="71" t="inlineStr">
        <is>
          <t>1,000 MT / 3%</t>
        </is>
      </c>
      <c r="P19" s="30" t="inlineStr">
        <is>
          <t>✓ YES</t>
        </is>
      </c>
      <c r="Q19" s="44" t="n">
        <v>2</v>
      </c>
      <c r="R19" s="77" t="n">
        <v>500000</v>
      </c>
    </row>
    <row r="20" ht="16" customHeight="1">
      <c r="A20" s="64" t="inlineStr">
        <is>
          <t>REF-AGR-001</t>
        </is>
      </c>
      <c r="B20" s="65" t="inlineStr">
        <is>
          <t>WHT-HRD</t>
        </is>
      </c>
      <c r="C20" s="66" t="inlineStr">
        <is>
          <t>Hard Wheat 14% Protein</t>
        </is>
      </c>
      <c r="D20" s="67" t="inlineStr">
        <is>
          <t>MT</t>
        </is>
      </c>
      <c r="E20" s="16" t="n">
        <v>1120</v>
      </c>
      <c r="F20" s="15" t="n">
        <v>1040</v>
      </c>
      <c r="G20" s="15" t="n">
        <v>1160</v>
      </c>
      <c r="H20" s="15" t="n">
        <v>1040</v>
      </c>
      <c r="I20" s="68" t="n">
        <v>5</v>
      </c>
      <c r="J20" s="69" t="inlineStr">
        <is>
          <t>3.6%</t>
        </is>
      </c>
      <c r="K20" s="69" t="inlineStr">
        <is>
          <t>1.8%</t>
        </is>
      </c>
      <c r="L20" s="30" t="inlineStr">
        <is>
          <t>STANDARD</t>
        </is>
      </c>
      <c r="M20" s="64" t="inlineStr">
        <is>
          <t>50 MT / 1%</t>
        </is>
      </c>
      <c r="N20" s="64" t="inlineStr">
        <is>
          <t>200 MT / 2%</t>
        </is>
      </c>
      <c r="O20" s="64" t="inlineStr">
        <is>
          <t>500 MT / 3%</t>
        </is>
      </c>
      <c r="P20" s="30" t="inlineStr">
        <is>
          <t>✓ YES</t>
        </is>
      </c>
      <c r="Q20" s="28" t="n">
        <v>3</v>
      </c>
      <c r="R20" s="70" t="n">
        <v>300000</v>
      </c>
    </row>
    <row r="21" ht="16" customHeight="1">
      <c r="A21" s="71" t="inlineStr">
        <is>
          <t>REF-AGR-001</t>
        </is>
      </c>
      <c r="B21" s="72" t="inlineStr">
        <is>
          <t>WHT-SFT</t>
        </is>
      </c>
      <c r="C21" s="73" t="inlineStr">
        <is>
          <t>Soft Wheat 11% Protein</t>
        </is>
      </c>
      <c r="D21" s="74" t="inlineStr">
        <is>
          <t>MT</t>
        </is>
      </c>
      <c r="E21" s="36" t="n">
        <v>1050</v>
      </c>
      <c r="F21" s="35" t="n">
        <v>970</v>
      </c>
      <c r="G21" s="35" t="n">
        <v>1090</v>
      </c>
      <c r="H21" s="35" t="n">
        <v>970</v>
      </c>
      <c r="I21" s="75" t="n">
        <v>5</v>
      </c>
      <c r="J21" s="76" t="inlineStr">
        <is>
          <t>3.8%</t>
        </is>
      </c>
      <c r="K21" s="76" t="inlineStr">
        <is>
          <t>1.8%</t>
        </is>
      </c>
      <c r="L21" s="30" t="inlineStr">
        <is>
          <t>STANDARD</t>
        </is>
      </c>
      <c r="M21" s="71" t="inlineStr">
        <is>
          <t>50 MT / 1%</t>
        </is>
      </c>
      <c r="N21" s="71" t="inlineStr">
        <is>
          <t>200 MT / 2%</t>
        </is>
      </c>
      <c r="O21" s="71" t="inlineStr">
        <is>
          <t>500 MT / 3%</t>
        </is>
      </c>
      <c r="P21" s="30" t="inlineStr">
        <is>
          <t>✓ YES</t>
        </is>
      </c>
      <c r="Q21" s="44" t="n">
        <v>3</v>
      </c>
      <c r="R21" s="77" t="n">
        <v>200000</v>
      </c>
    </row>
    <row r="22" ht="16" customHeight="1">
      <c r="A22" s="64" t="inlineStr">
        <is>
          <t>REF-AGR-001</t>
        </is>
      </c>
      <c r="B22" s="65" t="inlineStr">
        <is>
          <t>CRN-YLW</t>
        </is>
      </c>
      <c r="C22" s="66" t="inlineStr">
        <is>
          <t>Yellow Corn No.2</t>
        </is>
      </c>
      <c r="D22" s="67" t="inlineStr">
        <is>
          <t>MT</t>
        </is>
      </c>
      <c r="E22" s="16" t="n">
        <v>980</v>
      </c>
      <c r="F22" s="15" t="n">
        <v>900</v>
      </c>
      <c r="G22" s="15" t="n">
        <v>1020</v>
      </c>
      <c r="H22" s="15" t="n">
        <v>900</v>
      </c>
      <c r="I22" s="68" t="n">
        <v>5</v>
      </c>
      <c r="J22" s="69" t="inlineStr">
        <is>
          <t>4.1%</t>
        </is>
      </c>
      <c r="K22" s="69" t="inlineStr">
        <is>
          <t>1.8%</t>
        </is>
      </c>
      <c r="L22" s="30" t="inlineStr">
        <is>
          <t>STANDARD</t>
        </is>
      </c>
      <c r="M22" s="64" t="inlineStr">
        <is>
          <t>50 MT / 1%</t>
        </is>
      </c>
      <c r="N22" s="64" t="inlineStr">
        <is>
          <t>200 MT / 2%</t>
        </is>
      </c>
      <c r="O22" s="64" t="inlineStr">
        <is>
          <t>500 MT / 3%</t>
        </is>
      </c>
      <c r="P22" s="30" t="inlineStr">
        <is>
          <t>✓ YES</t>
        </is>
      </c>
      <c r="Q22" s="28" t="n">
        <v>3</v>
      </c>
      <c r="R22" s="70" t="n">
        <v>300000</v>
      </c>
    </row>
    <row r="23" ht="16" customHeight="1">
      <c r="A23" s="71" t="inlineStr">
        <is>
          <t>REF-AGR-002</t>
        </is>
      </c>
      <c r="B23" s="72" t="inlineStr">
        <is>
          <t>SOY-GMO</t>
        </is>
      </c>
      <c r="C23" s="73" t="inlineStr">
        <is>
          <t>Soybean GMO 48% Protein</t>
        </is>
      </c>
      <c r="D23" s="74" t="inlineStr">
        <is>
          <t>MT</t>
        </is>
      </c>
      <c r="E23" s="36" t="n">
        <v>1200</v>
      </c>
      <c r="F23" s="35" t="n">
        <v>1120</v>
      </c>
      <c r="G23" s="35" t="n">
        <v>1250</v>
      </c>
      <c r="H23" s="35" t="n">
        <v>1120</v>
      </c>
      <c r="I23" s="75" t="n">
        <v>4</v>
      </c>
      <c r="J23" s="76" t="inlineStr">
        <is>
          <t>4.2%</t>
        </is>
      </c>
      <c r="K23" s="76" t="inlineStr">
        <is>
          <t>1.5%</t>
        </is>
      </c>
      <c r="L23" s="30" t="inlineStr">
        <is>
          <t>STANDARD</t>
        </is>
      </c>
      <c r="M23" s="71" t="inlineStr">
        <is>
          <t>50 MT / 1%</t>
        </is>
      </c>
      <c r="N23" s="71" t="inlineStr">
        <is>
          <t>200 MT / 2%</t>
        </is>
      </c>
      <c r="O23" s="71" t="inlineStr">
        <is>
          <t>500 MT / 3%</t>
        </is>
      </c>
      <c r="P23" s="30" t="inlineStr">
        <is>
          <t>✓ YES</t>
        </is>
      </c>
      <c r="Q23" s="44" t="n">
        <v>2</v>
      </c>
      <c r="R23" s="77" t="n">
        <v>200000</v>
      </c>
    </row>
    <row r="24" ht="16" customHeight="1">
      <c r="A24" s="64" t="inlineStr">
        <is>
          <t>REF-AGR-003</t>
        </is>
      </c>
      <c r="B24" s="65" t="inlineStr">
        <is>
          <t>SGR-RAW</t>
        </is>
      </c>
      <c r="C24" s="66" t="inlineStr">
        <is>
          <t>Raw Cane Sugar VHP</t>
        </is>
      </c>
      <c r="D24" s="67" t="inlineStr">
        <is>
          <t>MT</t>
        </is>
      </c>
      <c r="E24" s="16" t="n">
        <v>560</v>
      </c>
      <c r="F24" s="15" t="n">
        <v>520</v>
      </c>
      <c r="G24" s="15" t="n">
        <v>580</v>
      </c>
      <c r="H24" s="15" t="n">
        <v>520</v>
      </c>
      <c r="I24" s="68" t="n">
        <v>5</v>
      </c>
      <c r="J24" s="69" t="inlineStr">
        <is>
          <t>3.6%</t>
        </is>
      </c>
      <c r="K24" s="69" t="inlineStr">
        <is>
          <t>1.5%</t>
        </is>
      </c>
      <c r="L24" s="30" t="inlineStr">
        <is>
          <t>STANDARD</t>
        </is>
      </c>
      <c r="M24" s="64" t="inlineStr">
        <is>
          <t>50 MT / 1%</t>
        </is>
      </c>
      <c r="N24" s="64" t="inlineStr">
        <is>
          <t>200 MT / 2%</t>
        </is>
      </c>
      <c r="O24" s="64" t="inlineStr">
        <is>
          <t>500 MT / 3%</t>
        </is>
      </c>
      <c r="P24" s="78" t="inlineStr">
        <is>
          <t>✗ NO</t>
        </is>
      </c>
      <c r="Q24" s="28" t="n">
        <v>1</v>
      </c>
      <c r="R24" s="70" t="n">
        <v>150000</v>
      </c>
    </row>
    <row r="25" ht="16" customHeight="1">
      <c r="A25" s="71" t="inlineStr">
        <is>
          <t>REF-CHM-001</t>
        </is>
      </c>
      <c r="B25" s="72" t="inlineStr">
        <is>
          <t>H2SO4</t>
        </is>
      </c>
      <c r="C25" s="73" t="inlineStr">
        <is>
          <t>Sulfuric Acid 98%</t>
        </is>
      </c>
      <c r="D25" s="74" t="inlineStr">
        <is>
          <t>MT</t>
        </is>
      </c>
      <c r="E25" s="36" t="n">
        <v>580</v>
      </c>
      <c r="F25" s="35" t="n">
        <v>530</v>
      </c>
      <c r="G25" s="35" t="n">
        <v>600</v>
      </c>
      <c r="H25" s="35" t="n">
        <v>530</v>
      </c>
      <c r="I25" s="75" t="n">
        <v>4</v>
      </c>
      <c r="J25" s="76" t="inlineStr">
        <is>
          <t>3.4%</t>
        </is>
      </c>
      <c r="K25" s="76" t="inlineStr">
        <is>
          <t>1.8%</t>
        </is>
      </c>
      <c r="L25" s="78" t="inlineStr">
        <is>
          <t>AGGRESSIVE</t>
        </is>
      </c>
      <c r="M25" s="71" t="inlineStr">
        <is>
          <t>5 MT / 1%</t>
        </is>
      </c>
      <c r="N25" s="71" t="inlineStr">
        <is>
          <t>20 MT / 2%</t>
        </is>
      </c>
      <c r="O25" s="71" t="inlineStr">
        <is>
          <t>50 MT / 3%</t>
        </is>
      </c>
      <c r="P25" s="78" t="inlineStr">
        <is>
          <t>✗ NO</t>
        </is>
      </c>
      <c r="Q25" s="44" t="n">
        <v>1</v>
      </c>
      <c r="R25" s="77" t="n">
        <v>50000</v>
      </c>
    </row>
    <row r="26" ht="16" customHeight="1">
      <c r="A26" s="64" t="inlineStr">
        <is>
          <t>REF-CHM-001</t>
        </is>
      </c>
      <c r="B26" s="65" t="inlineStr">
        <is>
          <t>NaOH</t>
        </is>
      </c>
      <c r="C26" s="66" t="inlineStr">
        <is>
          <t>Caustic Soda 50% Liquid</t>
        </is>
      </c>
      <c r="D26" s="67" t="inlineStr">
        <is>
          <t>MT</t>
        </is>
      </c>
      <c r="E26" s="16" t="n">
        <v>420</v>
      </c>
      <c r="F26" s="15" t="n">
        <v>385</v>
      </c>
      <c r="G26" s="15" t="n">
        <v>435</v>
      </c>
      <c r="H26" s="15" t="n">
        <v>385</v>
      </c>
      <c r="I26" s="68" t="n">
        <v>4</v>
      </c>
      <c r="J26" s="69" t="inlineStr">
        <is>
          <t>3.6%</t>
        </is>
      </c>
      <c r="K26" s="69" t="inlineStr">
        <is>
          <t>1.8%</t>
        </is>
      </c>
      <c r="L26" s="78" t="inlineStr">
        <is>
          <t>AGGRESSIVE</t>
        </is>
      </c>
      <c r="M26" s="64" t="inlineStr">
        <is>
          <t>5 MT / 1%</t>
        </is>
      </c>
      <c r="N26" s="64" t="inlineStr">
        <is>
          <t>20 MT / 2%</t>
        </is>
      </c>
      <c r="O26" s="64" t="inlineStr">
        <is>
          <t>50 MT / 3%</t>
        </is>
      </c>
      <c r="P26" s="78" t="inlineStr">
        <is>
          <t>✗ NO</t>
        </is>
      </c>
      <c r="Q26" s="28" t="n">
        <v>1</v>
      </c>
      <c r="R26" s="70" t="n">
        <v>40000</v>
      </c>
    </row>
    <row r="27" ht="16" customHeight="1">
      <c r="A27" s="71" t="inlineStr">
        <is>
          <t>REF-CHM-002</t>
        </is>
      </c>
      <c r="B27" s="72" t="inlineStr">
        <is>
          <t>UREA</t>
        </is>
      </c>
      <c r="C27" s="73" t="inlineStr">
        <is>
          <t>Urea 46% Prilled</t>
        </is>
      </c>
      <c r="D27" s="74" t="inlineStr">
        <is>
          <t>MT</t>
        </is>
      </c>
      <c r="E27" s="36" t="n">
        <v>450</v>
      </c>
      <c r="F27" s="35" t="n">
        <v>415</v>
      </c>
      <c r="G27" s="35" t="n">
        <v>468</v>
      </c>
      <c r="H27" s="35" t="n">
        <v>415</v>
      </c>
      <c r="I27" s="75" t="n">
        <v>5</v>
      </c>
      <c r="J27" s="76" t="inlineStr">
        <is>
          <t>4.0%</t>
        </is>
      </c>
      <c r="K27" s="76" t="inlineStr">
        <is>
          <t>1.8%</t>
        </is>
      </c>
      <c r="L27" s="30" t="inlineStr">
        <is>
          <t>STANDARD</t>
        </is>
      </c>
      <c r="M27" s="71" t="inlineStr">
        <is>
          <t>50 MT / 1%</t>
        </is>
      </c>
      <c r="N27" s="71" t="inlineStr">
        <is>
          <t>200 MT / 2%</t>
        </is>
      </c>
      <c r="O27" s="71" t="inlineStr">
        <is>
          <t>500 MT / 3%</t>
        </is>
      </c>
      <c r="P27" s="30" t="inlineStr">
        <is>
          <t>✓ YES</t>
        </is>
      </c>
      <c r="Q27" s="44" t="n">
        <v>2</v>
      </c>
      <c r="R27" s="77" t="n">
        <v>200000</v>
      </c>
    </row>
    <row r="28" ht="16" customHeight="1">
      <c r="A28" s="64" t="inlineStr">
        <is>
          <t>REF-CHM-002</t>
        </is>
      </c>
      <c r="B28" s="65" t="inlineStr">
        <is>
          <t>DAP-F</t>
        </is>
      </c>
      <c r="C28" s="66" t="inlineStr">
        <is>
          <t>DAP Fertilizer 18-46-0</t>
        </is>
      </c>
      <c r="D28" s="67" t="inlineStr">
        <is>
          <t>MT</t>
        </is>
      </c>
      <c r="E28" s="16" t="n">
        <v>620</v>
      </c>
      <c r="F28" s="15" t="n">
        <v>570</v>
      </c>
      <c r="G28" s="15" t="n">
        <v>645</v>
      </c>
      <c r="H28" s="15" t="n">
        <v>570</v>
      </c>
      <c r="I28" s="68" t="n">
        <v>5</v>
      </c>
      <c r="J28" s="69" t="inlineStr">
        <is>
          <t>4.0%</t>
        </is>
      </c>
      <c r="K28" s="69" t="inlineStr">
        <is>
          <t>1.8%</t>
        </is>
      </c>
      <c r="L28" s="30" t="inlineStr">
        <is>
          <t>STANDARD</t>
        </is>
      </c>
      <c r="M28" s="64" t="inlineStr">
        <is>
          <t>50 MT / 1%</t>
        </is>
      </c>
      <c r="N28" s="64" t="inlineStr">
        <is>
          <t>200 MT / 2%</t>
        </is>
      </c>
      <c r="O28" s="64" t="inlineStr">
        <is>
          <t>500 MT / 3%</t>
        </is>
      </c>
      <c r="P28" s="30" t="inlineStr">
        <is>
          <t>✓ YES</t>
        </is>
      </c>
      <c r="Q28" s="28" t="n">
        <v>2</v>
      </c>
      <c r="R28" s="70" t="n">
        <v>200000</v>
      </c>
    </row>
    <row r="29" ht="16" customHeight="1">
      <c r="A29" s="71" t="inlineStr">
        <is>
          <t>REF-CHM-003</t>
        </is>
      </c>
      <c r="B29" s="72" t="inlineStr">
        <is>
          <t>PP-GRN</t>
        </is>
      </c>
      <c r="C29" s="73" t="inlineStr">
        <is>
          <t>PP Granules Homopolymer</t>
        </is>
      </c>
      <c r="D29" s="74" t="inlineStr">
        <is>
          <t>MT</t>
        </is>
      </c>
      <c r="E29" s="36" t="n">
        <v>1280</v>
      </c>
      <c r="F29" s="35" t="n">
        <v>1190</v>
      </c>
      <c r="G29" s="35" t="n">
        <v>1330</v>
      </c>
      <c r="H29" s="35" t="n">
        <v>1190</v>
      </c>
      <c r="I29" s="75" t="n">
        <v>5</v>
      </c>
      <c r="J29" s="76" t="inlineStr">
        <is>
          <t>3.9%</t>
        </is>
      </c>
      <c r="K29" s="76" t="inlineStr">
        <is>
          <t>1.5%</t>
        </is>
      </c>
      <c r="L29" s="30" t="inlineStr">
        <is>
          <t>STANDARD</t>
        </is>
      </c>
      <c r="M29" s="71" t="inlineStr">
        <is>
          <t>20 MT / 1%</t>
        </is>
      </c>
      <c r="N29" s="71" t="inlineStr">
        <is>
          <t>100 MT / 2%</t>
        </is>
      </c>
      <c r="O29" s="71" t="inlineStr">
        <is>
          <t>500 MT / 3%</t>
        </is>
      </c>
      <c r="P29" s="78" t="inlineStr">
        <is>
          <t>✗ NO</t>
        </is>
      </c>
      <c r="Q29" s="44" t="n">
        <v>1</v>
      </c>
      <c r="R29" s="77" t="n">
        <v>100000</v>
      </c>
    </row>
    <row r="30" ht="16" customHeight="1">
      <c r="A30" s="64" t="inlineStr">
        <is>
          <t>REF-CHM-003</t>
        </is>
      </c>
      <c r="B30" s="65" t="inlineStr">
        <is>
          <t>HDPE-BLW</t>
        </is>
      </c>
      <c r="C30" s="66" t="inlineStr">
        <is>
          <t>HDPE Blow Grade</t>
        </is>
      </c>
      <c r="D30" s="67" t="inlineStr">
        <is>
          <t>MT</t>
        </is>
      </c>
      <c r="E30" s="16" t="n">
        <v>1220</v>
      </c>
      <c r="F30" s="15" t="n">
        <v>1140</v>
      </c>
      <c r="G30" s="15" t="n">
        <v>1270</v>
      </c>
      <c r="H30" s="15" t="n">
        <v>1140</v>
      </c>
      <c r="I30" s="68" t="n">
        <v>5</v>
      </c>
      <c r="J30" s="69" t="inlineStr">
        <is>
          <t>4.1%</t>
        </is>
      </c>
      <c r="K30" s="69" t="inlineStr">
        <is>
          <t>1.5%</t>
        </is>
      </c>
      <c r="L30" s="30" t="inlineStr">
        <is>
          <t>STANDARD</t>
        </is>
      </c>
      <c r="M30" s="64" t="inlineStr">
        <is>
          <t>20 MT / 1%</t>
        </is>
      </c>
      <c r="N30" s="64" t="inlineStr">
        <is>
          <t>100 MT / 2%</t>
        </is>
      </c>
      <c r="O30" s="64" t="inlineStr">
        <is>
          <t>500 MT / 3%</t>
        </is>
      </c>
      <c r="P30" s="78" t="inlineStr">
        <is>
          <t>✗ NO</t>
        </is>
      </c>
      <c r="Q30" s="28" t="n">
        <v>1</v>
      </c>
      <c r="R30" s="70" t="n">
        <v>100000</v>
      </c>
    </row>
    <row r="31" ht="16" customHeight="1">
      <c r="A31" s="71" t="inlineStr">
        <is>
          <t>REF-CMT-001</t>
        </is>
      </c>
      <c r="B31" s="72" t="inlineStr">
        <is>
          <t>CLK-KSA</t>
        </is>
      </c>
      <c r="C31" s="73" t="inlineStr">
        <is>
          <t>Clinker FOB Yanbu</t>
        </is>
      </c>
      <c r="D31" s="74" t="inlineStr">
        <is>
          <t>MT</t>
        </is>
      </c>
      <c r="E31" s="36" t="n">
        <v>62</v>
      </c>
      <c r="F31" s="35" t="n">
        <v>55</v>
      </c>
      <c r="G31" s="35" t="n">
        <v>65</v>
      </c>
      <c r="H31" s="35" t="n">
        <v>58</v>
      </c>
      <c r="I31" s="75" t="n">
        <v>5</v>
      </c>
      <c r="J31" s="76" t="inlineStr">
        <is>
          <t>4.8%</t>
        </is>
      </c>
      <c r="K31" s="76" t="inlineStr">
        <is>
          <t>2.0%</t>
        </is>
      </c>
      <c r="L31" s="30" t="inlineStr">
        <is>
          <t>STANDARD</t>
        </is>
      </c>
      <c r="M31" s="71" t="inlineStr">
        <is>
          <t>5,000 MT / 1%</t>
        </is>
      </c>
      <c r="N31" s="71" t="inlineStr">
        <is>
          <t>25,000 MT / 2%</t>
        </is>
      </c>
      <c r="O31" s="71" t="inlineStr">
        <is>
          <t>50,000 MT / 3%</t>
        </is>
      </c>
      <c r="P31" s="30" t="inlineStr">
        <is>
          <t>✓ YES</t>
        </is>
      </c>
      <c r="Q31" s="44" t="n">
        <v>2</v>
      </c>
      <c r="R31" s="77" t="n">
        <v>310000</v>
      </c>
    </row>
    <row r="32" ht="16" customHeight="1">
      <c r="A32" s="64" t="inlineStr">
        <is>
          <t>REF-CMT-001</t>
        </is>
      </c>
      <c r="B32" s="65" t="inlineStr">
        <is>
          <t>CLK-EGY</t>
        </is>
      </c>
      <c r="C32" s="66" t="inlineStr">
        <is>
          <t>Clinker FOB Alexandria</t>
        </is>
      </c>
      <c r="D32" s="67" t="inlineStr">
        <is>
          <t>MT</t>
        </is>
      </c>
      <c r="E32" s="16" t="n">
        <v>56</v>
      </c>
      <c r="F32" s="15" t="n">
        <v>49</v>
      </c>
      <c r="G32" s="15" t="n">
        <v>59</v>
      </c>
      <c r="H32" s="15" t="n">
        <v>52</v>
      </c>
      <c r="I32" s="68" t="n">
        <v>5</v>
      </c>
      <c r="J32" s="69" t="inlineStr">
        <is>
          <t>5.4%</t>
        </is>
      </c>
      <c r="K32" s="69" t="inlineStr">
        <is>
          <t>2.0%</t>
        </is>
      </c>
      <c r="L32" s="30" t="inlineStr">
        <is>
          <t>STANDARD</t>
        </is>
      </c>
      <c r="M32" s="64" t="inlineStr">
        <is>
          <t>3,000 MT / 1%</t>
        </is>
      </c>
      <c r="N32" s="64" t="inlineStr">
        <is>
          <t>10,000 MT / 2%</t>
        </is>
      </c>
      <c r="O32" s="64" t="inlineStr">
        <is>
          <t>30,000 MT / 3%</t>
        </is>
      </c>
      <c r="P32" s="30" t="inlineStr">
        <is>
          <t>✓ YES</t>
        </is>
      </c>
      <c r="Q32" s="28" t="n">
        <v>3</v>
      </c>
      <c r="R32" s="70" t="n">
        <v>168000</v>
      </c>
    </row>
    <row r="33" ht="16" customHeight="1">
      <c r="A33" s="71" t="inlineStr">
        <is>
          <t>REF-CMT-001</t>
        </is>
      </c>
      <c r="B33" s="72" t="inlineStr">
        <is>
          <t>CLK-ALG</t>
        </is>
      </c>
      <c r="C33" s="73" t="inlineStr">
        <is>
          <t>Clinker FOB Oran</t>
        </is>
      </c>
      <c r="D33" s="74" t="inlineStr">
        <is>
          <t>MT</t>
        </is>
      </c>
      <c r="E33" s="36" t="n">
        <v>54</v>
      </c>
      <c r="F33" s="35" t="n">
        <v>47</v>
      </c>
      <c r="G33" s="35" t="n">
        <v>57</v>
      </c>
      <c r="H33" s="35" t="n">
        <v>50</v>
      </c>
      <c r="I33" s="75" t="n">
        <v>4</v>
      </c>
      <c r="J33" s="76" t="inlineStr">
        <is>
          <t>5.6%</t>
        </is>
      </c>
      <c r="K33" s="76" t="inlineStr">
        <is>
          <t>2.2%</t>
        </is>
      </c>
      <c r="L33" s="30" t="inlineStr">
        <is>
          <t>STANDARD</t>
        </is>
      </c>
      <c r="M33" s="71" t="inlineStr">
        <is>
          <t>5,000 MT / 1%</t>
        </is>
      </c>
      <c r="N33" s="71" t="inlineStr">
        <is>
          <t>15,000 MT / 2%</t>
        </is>
      </c>
      <c r="O33" s="71" t="inlineStr">
        <is>
          <t>40,000 MT / 3%</t>
        </is>
      </c>
      <c r="P33" s="30" t="inlineStr">
        <is>
          <t>✓ YES</t>
        </is>
      </c>
      <c r="Q33" s="44" t="n">
        <v>2</v>
      </c>
      <c r="R33" s="77" t="n">
        <v>270000</v>
      </c>
    </row>
    <row r="34" ht="16" customHeight="1">
      <c r="A34" s="64" t="inlineStr">
        <is>
          <t>REF-CMT-002</t>
        </is>
      </c>
      <c r="B34" s="65" t="inlineStr">
        <is>
          <t>OPC-KSA</t>
        </is>
      </c>
      <c r="C34" s="66" t="inlineStr">
        <is>
          <t>OPC Cement 42.5 Saudi</t>
        </is>
      </c>
      <c r="D34" s="67" t="inlineStr">
        <is>
          <t>MT</t>
        </is>
      </c>
      <c r="E34" s="16" t="n">
        <v>77</v>
      </c>
      <c r="F34" s="15" t="n">
        <v>68</v>
      </c>
      <c r="G34" s="15" t="n">
        <v>81</v>
      </c>
      <c r="H34" s="15" t="n">
        <v>74</v>
      </c>
      <c r="I34" s="68" t="n">
        <v>5</v>
      </c>
      <c r="J34" s="69" t="inlineStr">
        <is>
          <t>5.2%</t>
        </is>
      </c>
      <c r="K34" s="69" t="inlineStr">
        <is>
          <t>2.0%</t>
        </is>
      </c>
      <c r="L34" s="30" t="inlineStr">
        <is>
          <t>STANDARD</t>
        </is>
      </c>
      <c r="M34" s="64" t="inlineStr">
        <is>
          <t>3,000 MT / 1%</t>
        </is>
      </c>
      <c r="N34" s="64" t="inlineStr">
        <is>
          <t>10,000 MT / 2%</t>
        </is>
      </c>
      <c r="O34" s="64" t="inlineStr">
        <is>
          <t>25,000 MT / 3%</t>
        </is>
      </c>
      <c r="P34" s="30" t="inlineStr">
        <is>
          <t>✓ YES</t>
        </is>
      </c>
      <c r="Q34" s="28" t="n">
        <v>2</v>
      </c>
      <c r="R34" s="70" t="n">
        <v>231000</v>
      </c>
    </row>
    <row r="35" ht="16" customHeight="1">
      <c r="A35" s="71" t="inlineStr">
        <is>
          <t>REF-CMT-002</t>
        </is>
      </c>
      <c r="B35" s="72" t="inlineStr">
        <is>
          <t>OPC-EGY</t>
        </is>
      </c>
      <c r="C35" s="73" t="inlineStr">
        <is>
          <t>OPC Cement 42.5 Egypt</t>
        </is>
      </c>
      <c r="D35" s="74" t="inlineStr">
        <is>
          <t>MT</t>
        </is>
      </c>
      <c r="E35" s="36" t="n">
        <v>70</v>
      </c>
      <c r="F35" s="35" t="n">
        <v>62</v>
      </c>
      <c r="G35" s="35" t="n">
        <v>74</v>
      </c>
      <c r="H35" s="35" t="n">
        <v>65</v>
      </c>
      <c r="I35" s="75" t="n">
        <v>5</v>
      </c>
      <c r="J35" s="76" t="inlineStr">
        <is>
          <t>5.7%</t>
        </is>
      </c>
      <c r="K35" s="76" t="inlineStr">
        <is>
          <t>2.0%</t>
        </is>
      </c>
      <c r="L35" s="30" t="inlineStr">
        <is>
          <t>STANDARD</t>
        </is>
      </c>
      <c r="M35" s="71" t="inlineStr">
        <is>
          <t>3,000 MT / 1%</t>
        </is>
      </c>
      <c r="N35" s="71" t="inlineStr">
        <is>
          <t>10,000 MT / 2%</t>
        </is>
      </c>
      <c r="O35" s="71" t="inlineStr">
        <is>
          <t>25,000 MT / 3%</t>
        </is>
      </c>
      <c r="P35" s="30" t="inlineStr">
        <is>
          <t>✓ YES</t>
        </is>
      </c>
      <c r="Q35" s="44" t="n">
        <v>3</v>
      </c>
      <c r="R35" s="77" t="n">
        <v>210000</v>
      </c>
    </row>
    <row r="36" ht="16" customHeight="1">
      <c r="A36" s="64" t="inlineStr">
        <is>
          <t>REF-CMT-003</t>
        </is>
      </c>
      <c r="B36" s="65" t="inlineStr">
        <is>
          <t>WHT-KSA</t>
        </is>
      </c>
      <c r="C36" s="66" t="inlineStr">
        <is>
          <t>White Cement 52.5 Saudi</t>
        </is>
      </c>
      <c r="D36" s="67" t="inlineStr">
        <is>
          <t>MT</t>
        </is>
      </c>
      <c r="E36" s="16" t="n">
        <v>155</v>
      </c>
      <c r="F36" s="15" t="n">
        <v>135</v>
      </c>
      <c r="G36" s="15" t="n">
        <v>163</v>
      </c>
      <c r="H36" s="15" t="n">
        <v>145</v>
      </c>
      <c r="I36" s="68" t="n">
        <v>4</v>
      </c>
      <c r="J36" s="69" t="inlineStr">
        <is>
          <t>5.2%</t>
        </is>
      </c>
      <c r="K36" s="69" t="inlineStr">
        <is>
          <t>1.5%</t>
        </is>
      </c>
      <c r="L36" s="78" t="inlineStr">
        <is>
          <t>AGGRESSIVE</t>
        </is>
      </c>
      <c r="M36" s="64" t="inlineStr">
        <is>
          <t>500 MT / 1%</t>
        </is>
      </c>
      <c r="N36" s="64" t="inlineStr">
        <is>
          <t>2,000 MT / 2%</t>
        </is>
      </c>
      <c r="O36" s="64" t="inlineStr">
        <is>
          <t>5,000 MT / 3%</t>
        </is>
      </c>
      <c r="P36" s="78" t="inlineStr">
        <is>
          <t>✗ NO</t>
        </is>
      </c>
      <c r="Q36" s="28" t="n">
        <v>1</v>
      </c>
      <c r="R36" s="70" t="n">
        <v>77500</v>
      </c>
    </row>
    <row r="37" ht="16" customHeight="1">
      <c r="A37" s="71" t="inlineStr">
        <is>
          <t>REF-CMT-003</t>
        </is>
      </c>
      <c r="B37" s="72" t="inlineStr">
        <is>
          <t>WHT-EGY</t>
        </is>
      </c>
      <c r="C37" s="73" t="inlineStr">
        <is>
          <t>White Cement 52.5 Egypt</t>
        </is>
      </c>
      <c r="D37" s="74" t="inlineStr">
        <is>
          <t>MT</t>
        </is>
      </c>
      <c r="E37" s="36" t="n">
        <v>140</v>
      </c>
      <c r="F37" s="35" t="n">
        <v>122</v>
      </c>
      <c r="G37" s="35" t="n">
        <v>147</v>
      </c>
      <c r="H37" s="35" t="n">
        <v>130</v>
      </c>
      <c r="I37" s="75" t="n">
        <v>4</v>
      </c>
      <c r="J37" s="76" t="inlineStr">
        <is>
          <t>5.0%</t>
        </is>
      </c>
      <c r="K37" s="76" t="inlineStr">
        <is>
          <t>1.5%</t>
        </is>
      </c>
      <c r="L37" s="78" t="inlineStr">
        <is>
          <t>AGGRESSIVE</t>
        </is>
      </c>
      <c r="M37" s="71" t="inlineStr">
        <is>
          <t>500 MT / 1%</t>
        </is>
      </c>
      <c r="N37" s="71" t="inlineStr">
        <is>
          <t>2,000 MT / 2%</t>
        </is>
      </c>
      <c r="O37" s="71" t="inlineStr">
        <is>
          <t>5,000 MT / 3%</t>
        </is>
      </c>
      <c r="P37" s="78" t="inlineStr">
        <is>
          <t>✗ NO</t>
        </is>
      </c>
      <c r="Q37" s="44" t="n">
        <v>1</v>
      </c>
      <c r="R37" s="77" t="n">
        <v>70000</v>
      </c>
    </row>
    <row r="38" ht="16" customHeight="1">
      <c r="A38" s="64" t="inlineStr">
        <is>
          <t>REF-BLD-010</t>
        </is>
      </c>
      <c r="B38" s="65" t="inlineStr">
        <is>
          <t>RBR-TUR</t>
        </is>
      </c>
      <c r="C38" s="66" t="inlineStr">
        <is>
          <t>Steel Rebar G60 Turkey</t>
        </is>
      </c>
      <c r="D38" s="67" t="inlineStr">
        <is>
          <t>MT</t>
        </is>
      </c>
      <c r="E38" s="16" t="n">
        <v>558</v>
      </c>
      <c r="F38" s="15" t="n">
        <v>510</v>
      </c>
      <c r="G38" s="15" t="n">
        <v>582</v>
      </c>
      <c r="H38" s="15" t="n">
        <v>540</v>
      </c>
      <c r="I38" s="68" t="n">
        <v>5</v>
      </c>
      <c r="J38" s="69" t="inlineStr">
        <is>
          <t>4.3%</t>
        </is>
      </c>
      <c r="K38" s="69" t="inlineStr">
        <is>
          <t>1.8%</t>
        </is>
      </c>
      <c r="L38" s="30" t="inlineStr">
        <is>
          <t>STANDARD</t>
        </is>
      </c>
      <c r="M38" s="64" t="inlineStr">
        <is>
          <t>500 MT / 1%</t>
        </is>
      </c>
      <c r="N38" s="64" t="inlineStr">
        <is>
          <t>2,000 MT / 2%</t>
        </is>
      </c>
      <c r="O38" s="64" t="inlineStr">
        <is>
          <t>5,000 MT / 3%</t>
        </is>
      </c>
      <c r="P38" s="30" t="inlineStr">
        <is>
          <t>✓ YES</t>
        </is>
      </c>
      <c r="Q38" s="28" t="n">
        <v>3</v>
      </c>
      <c r="R38" s="70" t="n">
        <v>279000</v>
      </c>
    </row>
    <row r="39" ht="16" customHeight="1">
      <c r="A39" s="71" t="inlineStr">
        <is>
          <t>REF-BLD-011</t>
        </is>
      </c>
      <c r="B39" s="72" t="inlineStr">
        <is>
          <t>WRD-EGY</t>
        </is>
      </c>
      <c r="C39" s="73" t="inlineStr">
        <is>
          <t>Wire Rod SAE1008 Egypt</t>
        </is>
      </c>
      <c r="D39" s="74" t="inlineStr">
        <is>
          <t>MT</t>
        </is>
      </c>
      <c r="E39" s="36" t="n">
        <v>542</v>
      </c>
      <c r="F39" s="35" t="n">
        <v>500</v>
      </c>
      <c r="G39" s="35" t="n">
        <v>565</v>
      </c>
      <c r="H39" s="35" t="n">
        <v>525</v>
      </c>
      <c r="I39" s="75" t="n">
        <v>4</v>
      </c>
      <c r="J39" s="76" t="inlineStr">
        <is>
          <t>4.2%</t>
        </is>
      </c>
      <c r="K39" s="76" t="inlineStr">
        <is>
          <t>1.8%</t>
        </is>
      </c>
      <c r="L39" s="30" t="inlineStr">
        <is>
          <t>STANDARD</t>
        </is>
      </c>
      <c r="M39" s="71" t="inlineStr">
        <is>
          <t>500 MT / 1%</t>
        </is>
      </c>
      <c r="N39" s="71" t="inlineStr">
        <is>
          <t>2,000 MT / 2%</t>
        </is>
      </c>
      <c r="O39" s="71" t="inlineStr">
        <is>
          <t>5,000 MT / 3%</t>
        </is>
      </c>
      <c r="P39" s="30" t="inlineStr">
        <is>
          <t>✓ YES</t>
        </is>
      </c>
      <c r="Q39" s="44" t="n">
        <v>2</v>
      </c>
      <c r="R39" s="77" t="n">
        <v>271000</v>
      </c>
    </row>
    <row r="40" ht="16" customHeight="1">
      <c r="A40" s="64" t="inlineStr">
        <is>
          <t>REF-BLD-012</t>
        </is>
      </c>
      <c r="B40" s="65" t="inlineStr">
        <is>
          <t>ALU-BLT</t>
        </is>
      </c>
      <c r="C40" s="66" t="inlineStr">
        <is>
          <t>Aluminum Billet 6061 UAE</t>
        </is>
      </c>
      <c r="D40" s="67" t="inlineStr">
        <is>
          <t>MT</t>
        </is>
      </c>
      <c r="E40" s="16" t="n">
        <v>2450</v>
      </c>
      <c r="F40" s="15" t="n">
        <v>2200</v>
      </c>
      <c r="G40" s="15" t="n">
        <v>2550</v>
      </c>
      <c r="H40" s="15" t="n">
        <v>2380</v>
      </c>
      <c r="I40" s="68" t="n">
        <v>5</v>
      </c>
      <c r="J40" s="69" t="inlineStr">
        <is>
          <t>4.1%</t>
        </is>
      </c>
      <c r="K40" s="69" t="inlineStr">
        <is>
          <t>1.5%</t>
        </is>
      </c>
      <c r="L40" s="30" t="inlineStr">
        <is>
          <t>STANDARD</t>
        </is>
      </c>
      <c r="M40" s="64" t="inlineStr">
        <is>
          <t>20 MT / 0.5%</t>
        </is>
      </c>
      <c r="N40" s="64" t="inlineStr">
        <is>
          <t>100 MT / 1%</t>
        </is>
      </c>
      <c r="O40" s="64" t="inlineStr">
        <is>
          <t>500 MT / 2%</t>
        </is>
      </c>
      <c r="P40" s="78" t="inlineStr">
        <is>
          <t>✗ NO</t>
        </is>
      </c>
      <c r="Q40" s="28" t="n">
        <v>1</v>
      </c>
      <c r="R40" s="70" t="n">
        <v>49000</v>
      </c>
    </row>
    <row r="41" ht="16" customHeight="1">
      <c r="A41" s="71" t="inlineStr">
        <is>
          <t>REF-BLD-013</t>
        </is>
      </c>
      <c r="B41" s="72" t="inlineStr">
        <is>
          <t>GYP-EGY</t>
        </is>
      </c>
      <c r="C41" s="73" t="inlineStr">
        <is>
          <t>Gypsum Board 12.5mm Egypt</t>
        </is>
      </c>
      <c r="D41" s="74" t="inlineStr">
        <is>
          <t>m²</t>
        </is>
      </c>
      <c r="E41" s="36" t="n">
        <v>3.6</v>
      </c>
      <c r="F41" s="35" t="n">
        <v>3</v>
      </c>
      <c r="G41" s="35" t="n">
        <v>3.8</v>
      </c>
      <c r="H41" s="35" t="n">
        <v>3.2</v>
      </c>
      <c r="I41" s="75" t="n">
        <v>4</v>
      </c>
      <c r="J41" s="76" t="inlineStr">
        <is>
          <t>5.6%</t>
        </is>
      </c>
      <c r="K41" s="76" t="inlineStr">
        <is>
          <t>2.0%</t>
        </is>
      </c>
      <c r="L41" s="30" t="inlineStr">
        <is>
          <t>STANDARD</t>
        </is>
      </c>
      <c r="M41" s="71" t="inlineStr">
        <is>
          <t>20,000 m² / 1%</t>
        </is>
      </c>
      <c r="N41" s="71" t="inlineStr">
        <is>
          <t>100,000 m² / 2%</t>
        </is>
      </c>
      <c r="O41" s="71" t="inlineStr">
        <is>
          <t>500,000 m² / 3%</t>
        </is>
      </c>
      <c r="P41" s="30" t="inlineStr">
        <is>
          <t>✓ YES</t>
        </is>
      </c>
      <c r="Q41" s="44" t="n">
        <v>5</v>
      </c>
      <c r="R41" s="77" t="n">
        <v>72000</v>
      </c>
    </row>
    <row r="42" ht="16" customHeight="1">
      <c r="A42" s="64" t="inlineStr">
        <is>
          <t>REF-BLD-014</t>
        </is>
      </c>
      <c r="B42" s="65" t="inlineStr">
        <is>
          <t>GYP-KSA</t>
        </is>
      </c>
      <c r="C42" s="66" t="inlineStr">
        <is>
          <t>Gypsum Board 12.5mm Saudi</t>
        </is>
      </c>
      <c r="D42" s="67" t="inlineStr">
        <is>
          <t>m²</t>
        </is>
      </c>
      <c r="E42" s="16" t="n">
        <v>3.8</v>
      </c>
      <c r="F42" s="15" t="n">
        <v>3.2</v>
      </c>
      <c r="G42" s="15" t="n">
        <v>4</v>
      </c>
      <c r="H42" s="15" t="n">
        <v>3.5</v>
      </c>
      <c r="I42" s="68" t="n">
        <v>4</v>
      </c>
      <c r="J42" s="69" t="inlineStr">
        <is>
          <t>5.3%</t>
        </is>
      </c>
      <c r="K42" s="69" t="inlineStr">
        <is>
          <t>2.0%</t>
        </is>
      </c>
      <c r="L42" s="30" t="inlineStr">
        <is>
          <t>STANDARD</t>
        </is>
      </c>
      <c r="M42" s="64" t="inlineStr">
        <is>
          <t>20,000 m² / 1%</t>
        </is>
      </c>
      <c r="N42" s="64" t="inlineStr">
        <is>
          <t>100,000 m² / 2%</t>
        </is>
      </c>
      <c r="O42" s="64" t="inlineStr">
        <is>
          <t>500,000 m² / 3%</t>
        </is>
      </c>
      <c r="P42" s="30" t="inlineStr">
        <is>
          <t>✓ YES</t>
        </is>
      </c>
      <c r="Q42" s="28" t="n">
        <v>4</v>
      </c>
      <c r="R42" s="70" t="n">
        <v>76000</v>
      </c>
    </row>
    <row r="43" ht="16" customHeight="1">
      <c r="A43" s="71" t="inlineStr">
        <is>
          <t>REF-BLD-015</t>
        </is>
      </c>
      <c r="B43" s="72" t="inlineStr">
        <is>
          <t>GLS-KSA</t>
        </is>
      </c>
      <c r="C43" s="73" t="inlineStr">
        <is>
          <t>Float Glass 6mm Saudi</t>
        </is>
      </c>
      <c r="D43" s="74" t="inlineStr">
        <is>
          <t>m²</t>
        </is>
      </c>
      <c r="E43" s="36" t="n">
        <v>10.5</v>
      </c>
      <c r="F43" s="35" t="n">
        <v>8.5</v>
      </c>
      <c r="G43" s="35" t="n">
        <v>11</v>
      </c>
      <c r="H43" s="35" t="n">
        <v>9</v>
      </c>
      <c r="I43" s="75" t="n">
        <v>4</v>
      </c>
      <c r="J43" s="76" t="inlineStr">
        <is>
          <t>4.8%</t>
        </is>
      </c>
      <c r="K43" s="76" t="inlineStr">
        <is>
          <t>1.8%</t>
        </is>
      </c>
      <c r="L43" s="30" t="inlineStr">
        <is>
          <t>STANDARD</t>
        </is>
      </c>
      <c r="M43" s="71" t="inlineStr">
        <is>
          <t>500 m² / 1%</t>
        </is>
      </c>
      <c r="N43" s="71" t="inlineStr">
        <is>
          <t>2,000 m² / 2%</t>
        </is>
      </c>
      <c r="O43" s="71" t="inlineStr">
        <is>
          <t>10,000 m² / 3%</t>
        </is>
      </c>
      <c r="P43" s="78" t="inlineStr">
        <is>
          <t>✗ NO</t>
        </is>
      </c>
      <c r="Q43" s="44" t="n">
        <v>2</v>
      </c>
      <c r="R43" s="77" t="n">
        <v>5250</v>
      </c>
    </row>
    <row r="44" ht="16" customHeight="1">
      <c r="A44" s="64" t="inlineStr">
        <is>
          <t>REF-BLD-016</t>
        </is>
      </c>
      <c r="B44" s="65" t="inlineStr">
        <is>
          <t>TLE-TUR</t>
        </is>
      </c>
      <c r="C44" s="66" t="inlineStr">
        <is>
          <t>Porcelain Tile 60×60 Turkey</t>
        </is>
      </c>
      <c r="D44" s="67" t="inlineStr">
        <is>
          <t>m²</t>
        </is>
      </c>
      <c r="E44" s="16" t="n">
        <v>7.5</v>
      </c>
      <c r="F44" s="15" t="n">
        <v>5.8</v>
      </c>
      <c r="G44" s="15" t="n">
        <v>7.9</v>
      </c>
      <c r="H44" s="15" t="n">
        <v>5.5</v>
      </c>
      <c r="I44" s="68" t="n">
        <v>4</v>
      </c>
      <c r="J44" s="69" t="inlineStr">
        <is>
          <t>5.3%</t>
        </is>
      </c>
      <c r="K44" s="69" t="inlineStr">
        <is>
          <t>2.0%</t>
        </is>
      </c>
      <c r="L44" s="30" t="inlineStr">
        <is>
          <t>STANDARD</t>
        </is>
      </c>
      <c r="M44" s="64" t="inlineStr">
        <is>
          <t>500 m² / 1%</t>
        </is>
      </c>
      <c r="N44" s="64" t="inlineStr">
        <is>
          <t>2,000 m² / 2%</t>
        </is>
      </c>
      <c r="O44" s="64" t="inlineStr">
        <is>
          <t>10,000 m² / 3%</t>
        </is>
      </c>
      <c r="P44" s="78" t="inlineStr">
        <is>
          <t>✗ NO</t>
        </is>
      </c>
      <c r="Q44" s="28" t="n">
        <v>2</v>
      </c>
      <c r="R44" s="70" t="n">
        <v>3750</v>
      </c>
    </row>
    <row r="45" ht="16" customHeight="1">
      <c r="A45" s="71" t="inlineStr">
        <is>
          <t>REF-BLD-017</t>
        </is>
      </c>
      <c r="B45" s="72" t="inlineStr">
        <is>
          <t>MRB-EGY</t>
        </is>
      </c>
      <c r="C45" s="73" t="inlineStr">
        <is>
          <t>Marble Slab Galala Cream</t>
        </is>
      </c>
      <c r="D45" s="74" t="inlineStr">
        <is>
          <t>m²</t>
        </is>
      </c>
      <c r="E45" s="36" t="n">
        <v>26</v>
      </c>
      <c r="F45" s="35" t="n">
        <v>16</v>
      </c>
      <c r="G45" s="35" t="n">
        <v>27.5</v>
      </c>
      <c r="H45" s="35" t="n">
        <v>18</v>
      </c>
      <c r="I45" s="75" t="n">
        <v>4</v>
      </c>
      <c r="J45" s="76" t="inlineStr">
        <is>
          <t>5.8%</t>
        </is>
      </c>
      <c r="K45" s="76" t="inlineStr">
        <is>
          <t>2.0%</t>
        </is>
      </c>
      <c r="L45" s="30" t="inlineStr">
        <is>
          <t>STANDARD</t>
        </is>
      </c>
      <c r="M45" s="71" t="inlineStr">
        <is>
          <t>50 m² / 1%</t>
        </is>
      </c>
      <c r="N45" s="71" t="inlineStr">
        <is>
          <t>200 m² / 2%</t>
        </is>
      </c>
      <c r="O45" s="71" t="inlineStr">
        <is>
          <t>1,000 m² / 3%</t>
        </is>
      </c>
      <c r="P45" s="78" t="inlineStr">
        <is>
          <t>✗ NO</t>
        </is>
      </c>
      <c r="Q45" s="44" t="n">
        <v>1</v>
      </c>
      <c r="R45" s="77" t="n">
        <v>1300</v>
      </c>
    </row>
    <row r="46" ht="16" customHeight="1">
      <c r="A46" s="64" t="inlineStr">
        <is>
          <t>REF-BLD-018</t>
        </is>
      </c>
      <c r="B46" s="65" t="inlineStr">
        <is>
          <t>MRB-TUR</t>
        </is>
      </c>
      <c r="C46" s="66" t="inlineStr">
        <is>
          <t>Marble Slab Afyon White</t>
        </is>
      </c>
      <c r="D46" s="67" t="inlineStr">
        <is>
          <t>m²</t>
        </is>
      </c>
      <c r="E46" s="16" t="n">
        <v>42</v>
      </c>
      <c r="F46" s="15" t="n">
        <v>25</v>
      </c>
      <c r="G46" s="15" t="n">
        <v>44</v>
      </c>
      <c r="H46" s="15" t="n">
        <v>28</v>
      </c>
      <c r="I46" s="68" t="n">
        <v>4</v>
      </c>
      <c r="J46" s="69" t="inlineStr">
        <is>
          <t>4.8%</t>
        </is>
      </c>
      <c r="K46" s="69" t="inlineStr">
        <is>
          <t>1.8%</t>
        </is>
      </c>
      <c r="L46" s="78" t="inlineStr">
        <is>
          <t>AGGRESSIVE</t>
        </is>
      </c>
      <c r="M46" s="64" t="inlineStr">
        <is>
          <t>50 m² / 1%</t>
        </is>
      </c>
      <c r="N46" s="64" t="inlineStr">
        <is>
          <t>200 m² / 2%</t>
        </is>
      </c>
      <c r="O46" s="64" t="inlineStr">
        <is>
          <t>1,000 m² / 3%</t>
        </is>
      </c>
      <c r="P46" s="78" t="inlineStr">
        <is>
          <t>✗ NO</t>
        </is>
      </c>
      <c r="Q46" s="28" t="n">
        <v>1</v>
      </c>
      <c r="R46" s="70" t="n">
        <v>2100</v>
      </c>
    </row>
    <row r="47" ht="16" customHeight="1">
      <c r="A47" s="71" t="inlineStr">
        <is>
          <t>REF-BLD-019</t>
        </is>
      </c>
      <c r="B47" s="72" t="inlineStr">
        <is>
          <t>RCW-TUR</t>
        </is>
      </c>
      <c r="C47" s="73" t="inlineStr">
        <is>
          <t>Rock Wool Insulation Turkey</t>
        </is>
      </c>
      <c r="D47" s="74" t="inlineStr">
        <is>
          <t>MT</t>
        </is>
      </c>
      <c r="E47" s="36" t="n">
        <v>360</v>
      </c>
      <c r="F47" s="35" t="n">
        <v>250</v>
      </c>
      <c r="G47" s="35" t="n">
        <v>380</v>
      </c>
      <c r="H47" s="35" t="n">
        <v>280</v>
      </c>
      <c r="I47" s="75" t="n">
        <v>4</v>
      </c>
      <c r="J47" s="76" t="inlineStr">
        <is>
          <t>5.6%</t>
        </is>
      </c>
      <c r="K47" s="76" t="inlineStr">
        <is>
          <t>2.0%</t>
        </is>
      </c>
      <c r="L47" s="30" t="inlineStr">
        <is>
          <t>STANDARD</t>
        </is>
      </c>
      <c r="M47" s="71" t="inlineStr">
        <is>
          <t>20 MT / 1%</t>
        </is>
      </c>
      <c r="N47" s="71" t="inlineStr">
        <is>
          <t>100 MT / 2%</t>
        </is>
      </c>
      <c r="O47" s="71" t="inlineStr">
        <is>
          <t>500 MT / 3%</t>
        </is>
      </c>
      <c r="P47" s="78" t="inlineStr">
        <is>
          <t>✗ NO</t>
        </is>
      </c>
      <c r="Q47" s="44" t="n">
        <v>1</v>
      </c>
      <c r="R47" s="77" t="n">
        <v>7200</v>
      </c>
    </row>
    <row r="48" ht="16" customHeight="1">
      <c r="A48" s="64" t="inlineStr">
        <is>
          <t>REF-BLD-020</t>
        </is>
      </c>
      <c r="B48" s="65" t="inlineStr">
        <is>
          <t>AGG-ALG</t>
        </is>
      </c>
      <c r="C48" s="66" t="inlineStr">
        <is>
          <t>Aggregates Limestone Algeria</t>
        </is>
      </c>
      <c r="D48" s="67" t="inlineStr">
        <is>
          <t>MT</t>
        </is>
      </c>
      <c r="E48" s="16" t="n">
        <v>9</v>
      </c>
      <c r="F48" s="15" t="n">
        <v>5.5</v>
      </c>
      <c r="G48" s="15" t="n">
        <v>9.5</v>
      </c>
      <c r="H48" s="15" t="n">
        <v>6</v>
      </c>
      <c r="I48" s="68" t="n">
        <v>3</v>
      </c>
      <c r="J48" s="69" t="inlineStr">
        <is>
          <t>5.6%</t>
        </is>
      </c>
      <c r="K48" s="69" t="inlineStr">
        <is>
          <t>2.5%</t>
        </is>
      </c>
      <c r="L48" s="30" t="inlineStr">
        <is>
          <t>STANDARD</t>
        </is>
      </c>
      <c r="M48" s="64" t="inlineStr">
        <is>
          <t>5,000 MT / 1%</t>
        </is>
      </c>
      <c r="N48" s="64" t="inlineStr">
        <is>
          <t>20,000 MT / 2%</t>
        </is>
      </c>
      <c r="O48" s="64" t="inlineStr">
        <is>
          <t>50,000 MT / 3%</t>
        </is>
      </c>
      <c r="P48" s="30" t="inlineStr">
        <is>
          <t>✓ YES</t>
        </is>
      </c>
      <c r="Q48" s="28" t="n">
        <v>5</v>
      </c>
      <c r="R48" s="70" t="n">
        <v>45000</v>
      </c>
    </row>
    <row r="49" ht="16" customHeight="1">
      <c r="A49" s="71" t="inlineStr">
        <is>
          <t>REF-BLD-021</t>
        </is>
      </c>
      <c r="B49" s="72" t="inlineStr">
        <is>
          <t>HDPE-PP</t>
        </is>
      </c>
      <c r="C49" s="73" t="inlineStr">
        <is>
          <t>HDPE Pipe PE100 SDR11 Saudi</t>
        </is>
      </c>
      <c r="D49" s="74" t="inlineStr">
        <is>
          <t>m</t>
        </is>
      </c>
      <c r="E49" s="36" t="n">
        <v>2.8</v>
      </c>
      <c r="F49" s="35" t="n">
        <v>1</v>
      </c>
      <c r="G49" s="35" t="n">
        <v>2.95</v>
      </c>
      <c r="H49" s="35" t="n">
        <v>1.2</v>
      </c>
      <c r="I49" s="75" t="n">
        <v>4</v>
      </c>
      <c r="J49" s="76" t="inlineStr">
        <is>
          <t>5.4%</t>
        </is>
      </c>
      <c r="K49" s="76" t="inlineStr">
        <is>
          <t>2.0%</t>
        </is>
      </c>
      <c r="L49" s="30" t="inlineStr">
        <is>
          <t>STANDARD</t>
        </is>
      </c>
      <c r="M49" s="71" t="inlineStr">
        <is>
          <t>2,000 m / 1%</t>
        </is>
      </c>
      <c r="N49" s="71" t="inlineStr">
        <is>
          <t>10,000 m / 2%</t>
        </is>
      </c>
      <c r="O49" s="71" t="inlineStr">
        <is>
          <t>50,000 m / 3%</t>
        </is>
      </c>
      <c r="P49" s="30" t="inlineStr">
        <is>
          <t>✓ YES</t>
        </is>
      </c>
      <c r="Q49" s="44" t="n">
        <v>3</v>
      </c>
      <c r="R49" s="77" t="n">
        <v>5600</v>
      </c>
    </row>
    <row r="50" ht="16" customHeight="1">
      <c r="A50" s="64" t="inlineStr">
        <is>
          <t>REF-BLD-022</t>
        </is>
      </c>
      <c r="B50" s="65" t="inlineStr">
        <is>
          <t>CBL-UAE</t>
        </is>
      </c>
      <c r="C50" s="66" t="inlineStr">
        <is>
          <t>Copper Electrical Cable UAE</t>
        </is>
      </c>
      <c r="D50" s="67" t="inlineStr">
        <is>
          <t>m</t>
        </is>
      </c>
      <c r="E50" s="16" t="n">
        <v>5.8</v>
      </c>
      <c r="F50" s="15" t="n">
        <v>3.8</v>
      </c>
      <c r="G50" s="15" t="n">
        <v>6.1</v>
      </c>
      <c r="H50" s="15" t="n">
        <v>4.2</v>
      </c>
      <c r="I50" s="68" t="n">
        <v>4</v>
      </c>
      <c r="J50" s="69" t="inlineStr">
        <is>
          <t>5.2%</t>
        </is>
      </c>
      <c r="K50" s="69" t="inlineStr">
        <is>
          <t>1.8%</t>
        </is>
      </c>
      <c r="L50" s="30" t="inlineStr">
        <is>
          <t>STANDARD</t>
        </is>
      </c>
      <c r="M50" s="64" t="inlineStr">
        <is>
          <t>500 m / 1%</t>
        </is>
      </c>
      <c r="N50" s="64" t="inlineStr">
        <is>
          <t>2,000 m / 2%</t>
        </is>
      </c>
      <c r="O50" s="64" t="inlineStr">
        <is>
          <t>10,000 m / 3%</t>
        </is>
      </c>
      <c r="P50" s="78" t="inlineStr">
        <is>
          <t>✗ NO</t>
        </is>
      </c>
      <c r="Q50" s="28" t="n">
        <v>2</v>
      </c>
      <c r="R50" s="70" t="n">
        <v>2900</v>
      </c>
    </row>
    <row r="51" ht="16" customHeight="1">
      <c r="A51" s="71" t="inlineStr">
        <is>
          <t>REF-MIN-001</t>
        </is>
      </c>
      <c r="B51" s="72" t="inlineStr">
        <is>
          <t>PHO-KSA</t>
        </is>
      </c>
      <c r="C51" s="73" t="inlineStr">
        <is>
          <t>Phosphate Rock BPL 68% Saudi</t>
        </is>
      </c>
      <c r="D51" s="74" t="inlineStr">
        <is>
          <t>MT</t>
        </is>
      </c>
      <c r="E51" s="36" t="n">
        <v>95</v>
      </c>
      <c r="F51" s="35" t="n">
        <v>62</v>
      </c>
      <c r="G51" s="35" t="n">
        <v>100</v>
      </c>
      <c r="H51" s="35" t="n">
        <v>70</v>
      </c>
      <c r="I51" s="75" t="n">
        <v>5</v>
      </c>
      <c r="J51" s="76" t="inlineStr">
        <is>
          <t>5.3%</t>
        </is>
      </c>
      <c r="K51" s="76" t="inlineStr">
        <is>
          <t>2.0%</t>
        </is>
      </c>
      <c r="L51" s="30" t="inlineStr">
        <is>
          <t>STANDARD</t>
        </is>
      </c>
      <c r="M51" s="71" t="inlineStr">
        <is>
          <t>10,000 MT / 1%</t>
        </is>
      </c>
      <c r="N51" s="71" t="inlineStr">
        <is>
          <t>30,000 MT / 2%</t>
        </is>
      </c>
      <c r="O51" s="71" t="inlineStr">
        <is>
          <t>50,000 MT / 3%</t>
        </is>
      </c>
      <c r="P51" s="30" t="inlineStr">
        <is>
          <t>✓ YES</t>
        </is>
      </c>
      <c r="Q51" s="44" t="n">
        <v>2</v>
      </c>
      <c r="R51" s="77" t="n">
        <v>950000</v>
      </c>
    </row>
    <row r="52" ht="16" customHeight="1">
      <c r="A52" s="64" t="inlineStr">
        <is>
          <t>REF-MIN-001</t>
        </is>
      </c>
      <c r="B52" s="65" t="inlineStr">
        <is>
          <t>PHO-EGY</t>
        </is>
      </c>
      <c r="C52" s="66" t="inlineStr">
        <is>
          <t>Phosphate Rock BPL 70% Egypt</t>
        </is>
      </c>
      <c r="D52" s="67" t="inlineStr">
        <is>
          <t>MT</t>
        </is>
      </c>
      <c r="E52" s="16" t="n">
        <v>90</v>
      </c>
      <c r="F52" s="15" t="n">
        <v>59</v>
      </c>
      <c r="G52" s="15" t="n">
        <v>95</v>
      </c>
      <c r="H52" s="15" t="n">
        <v>68</v>
      </c>
      <c r="I52" s="68" t="n">
        <v>5</v>
      </c>
      <c r="J52" s="69" t="inlineStr">
        <is>
          <t>5.6%</t>
        </is>
      </c>
      <c r="K52" s="69" t="inlineStr">
        <is>
          <t>2.0%</t>
        </is>
      </c>
      <c r="L52" s="30" t="inlineStr">
        <is>
          <t>STANDARD</t>
        </is>
      </c>
      <c r="M52" s="64" t="inlineStr">
        <is>
          <t>10,000 MT / 1%</t>
        </is>
      </c>
      <c r="N52" s="64" t="inlineStr">
        <is>
          <t>30,000 MT / 2%</t>
        </is>
      </c>
      <c r="O52" s="64" t="inlineStr">
        <is>
          <t>50,000 MT / 3%</t>
        </is>
      </c>
      <c r="P52" s="30" t="inlineStr">
        <is>
          <t>✓ YES</t>
        </is>
      </c>
      <c r="Q52" s="28" t="n">
        <v>2</v>
      </c>
      <c r="R52" s="70" t="n">
        <v>900000</v>
      </c>
    </row>
    <row r="53" ht="16" customHeight="1">
      <c r="A53" s="71" t="inlineStr">
        <is>
          <t>REF-MIN-002</t>
        </is>
      </c>
      <c r="B53" s="72" t="inlineStr">
        <is>
          <t>IRN-ALG</t>
        </is>
      </c>
      <c r="C53" s="73" t="inlineStr">
        <is>
          <t>Iron Ore Fe 58% Algeria</t>
        </is>
      </c>
      <c r="D53" s="74" t="inlineStr">
        <is>
          <t>MT</t>
        </is>
      </c>
      <c r="E53" s="36" t="n">
        <v>98</v>
      </c>
      <c r="F53" s="35" t="n">
        <v>78</v>
      </c>
      <c r="G53" s="35" t="n">
        <v>103</v>
      </c>
      <c r="H53" s="35" t="n">
        <v>95</v>
      </c>
      <c r="I53" s="75" t="n">
        <v>4</v>
      </c>
      <c r="J53" s="76" t="inlineStr">
        <is>
          <t>5.1%</t>
        </is>
      </c>
      <c r="K53" s="76" t="inlineStr">
        <is>
          <t>1.8%</t>
        </is>
      </c>
      <c r="L53" s="30" t="inlineStr">
        <is>
          <t>STANDARD</t>
        </is>
      </c>
      <c r="M53" s="71" t="inlineStr">
        <is>
          <t>25,000 MT / 1%</t>
        </is>
      </c>
      <c r="N53" s="71" t="inlineStr">
        <is>
          <t>50,000 MT / 2%</t>
        </is>
      </c>
      <c r="O53" s="71" t="inlineStr">
        <is>
          <t>100,000 MT / 3%</t>
        </is>
      </c>
      <c r="P53" s="30" t="inlineStr">
        <is>
          <t>✓ YES</t>
        </is>
      </c>
      <c r="Q53" s="44" t="n">
        <v>1</v>
      </c>
      <c r="R53" s="77" t="n">
        <v>2450000</v>
      </c>
    </row>
    <row r="54" ht="16" customHeight="1">
      <c r="A54" s="64" t="inlineStr">
        <is>
          <t>REF-MIN-003</t>
        </is>
      </c>
      <c r="B54" s="65" t="inlineStr">
        <is>
          <t>CPR-KSA</t>
        </is>
      </c>
      <c r="C54" s="66" t="inlineStr">
        <is>
          <t>Copper Concentrate 25% Saudi</t>
        </is>
      </c>
      <c r="D54" s="67" t="inlineStr">
        <is>
          <t>DMT</t>
        </is>
      </c>
      <c r="E54" s="16" t="n">
        <v>1350</v>
      </c>
      <c r="F54" s="15" t="n">
        <v>950</v>
      </c>
      <c r="G54" s="15" t="n">
        <v>1420</v>
      </c>
      <c r="H54" s="15" t="n">
        <v>1100</v>
      </c>
      <c r="I54" s="68" t="n">
        <v>5</v>
      </c>
      <c r="J54" s="69" t="inlineStr">
        <is>
          <t>5.2%</t>
        </is>
      </c>
      <c r="K54" s="69" t="inlineStr">
        <is>
          <t>1.5%</t>
        </is>
      </c>
      <c r="L54" s="78" t="inlineStr">
        <is>
          <t>AGGRESSIVE</t>
        </is>
      </c>
      <c r="M54" s="64" t="inlineStr">
        <is>
          <t>5,000 DMT / 1%</t>
        </is>
      </c>
      <c r="N54" s="64" t="inlineStr">
        <is>
          <t>10,000 DMT / 2%</t>
        </is>
      </c>
      <c r="O54" s="64" t="inlineStr">
        <is>
          <t>20,000 DMT / 3%</t>
        </is>
      </c>
      <c r="P54" s="78" t="inlineStr">
        <is>
          <t>✗ NO</t>
        </is>
      </c>
      <c r="Q54" s="28" t="n">
        <v>1</v>
      </c>
      <c r="R54" s="70" t="n">
        <v>6750000</v>
      </c>
    </row>
    <row r="55" ht="16" customHeight="1">
      <c r="A55" s="71" t="inlineStr">
        <is>
          <t>REF-MIN-004</t>
        </is>
      </c>
      <c r="B55" s="72" t="inlineStr">
        <is>
          <t>SIL-EGY</t>
        </is>
      </c>
      <c r="C55" s="73" t="inlineStr">
        <is>
          <t>Silica Sand SiO2 99.5% Egypt</t>
        </is>
      </c>
      <c r="D55" s="74" t="inlineStr">
        <is>
          <t>MT</t>
        </is>
      </c>
      <c r="E55" s="36" t="n">
        <v>58</v>
      </c>
      <c r="F55" s="35" t="n">
        <v>35</v>
      </c>
      <c r="G55" s="35" t="n">
        <v>61</v>
      </c>
      <c r="H55" s="35" t="n">
        <v>45</v>
      </c>
      <c r="I55" s="75" t="n">
        <v>4</v>
      </c>
      <c r="J55" s="76" t="inlineStr">
        <is>
          <t>5.2%</t>
        </is>
      </c>
      <c r="K55" s="76" t="inlineStr">
        <is>
          <t>2.0%</t>
        </is>
      </c>
      <c r="L55" s="30" t="inlineStr">
        <is>
          <t>STANDARD</t>
        </is>
      </c>
      <c r="M55" s="71" t="inlineStr">
        <is>
          <t>5,000 MT / 1%</t>
        </is>
      </c>
      <c r="N55" s="71" t="inlineStr">
        <is>
          <t>15,000 MT / 2%</t>
        </is>
      </c>
      <c r="O55" s="71" t="inlineStr">
        <is>
          <t>50,000 MT / 3%</t>
        </is>
      </c>
      <c r="P55" s="30" t="inlineStr">
        <is>
          <t>✓ YES</t>
        </is>
      </c>
      <c r="Q55" s="44" t="n">
        <v>2</v>
      </c>
      <c r="R55" s="77" t="n">
        <v>290000</v>
      </c>
    </row>
    <row r="56" ht="16" customHeight="1">
      <c r="A56" s="64" t="inlineStr">
        <is>
          <t>REF-MIN-005</t>
        </is>
      </c>
      <c r="B56" s="65" t="inlineStr">
        <is>
          <t>KAO-EGY</t>
        </is>
      </c>
      <c r="C56" s="66" t="inlineStr">
        <is>
          <t>Kaolin Brightness 85 Egypt</t>
        </is>
      </c>
      <c r="D56" s="67" t="inlineStr">
        <is>
          <t>MT</t>
        </is>
      </c>
      <c r="E56" s="16" t="n">
        <v>72</v>
      </c>
      <c r="F56" s="15" t="n">
        <v>40</v>
      </c>
      <c r="G56" s="15" t="n">
        <v>76</v>
      </c>
      <c r="H56" s="15" t="n">
        <v>55</v>
      </c>
      <c r="I56" s="68" t="n">
        <v>4</v>
      </c>
      <c r="J56" s="69" t="inlineStr">
        <is>
          <t>5.6%</t>
        </is>
      </c>
      <c r="K56" s="69" t="inlineStr">
        <is>
          <t>2.0%</t>
        </is>
      </c>
      <c r="L56" s="30" t="inlineStr">
        <is>
          <t>STANDARD</t>
        </is>
      </c>
      <c r="M56" s="64" t="inlineStr">
        <is>
          <t>1,000 MT / 1%</t>
        </is>
      </c>
      <c r="N56" s="64" t="inlineStr">
        <is>
          <t>5,000 MT / 2%</t>
        </is>
      </c>
      <c r="O56" s="64" t="inlineStr">
        <is>
          <t>20,000 MT / 3%</t>
        </is>
      </c>
      <c r="P56" s="30" t="inlineStr">
        <is>
          <t>✓ YES</t>
        </is>
      </c>
      <c r="Q56" s="28" t="n">
        <v>2</v>
      </c>
      <c r="R56" s="70" t="n">
        <v>72000</v>
      </c>
    </row>
    <row r="57" ht="16" customHeight="1">
      <c r="A57" s="71" t="inlineStr">
        <is>
          <t>REF-MIN-006</t>
        </is>
      </c>
      <c r="B57" s="72" t="inlineStr">
        <is>
          <t>GLD-KSA</t>
        </is>
      </c>
      <c r="C57" s="73" t="inlineStr">
        <is>
          <t>Gold Dore 75% Au Saudi</t>
        </is>
      </c>
      <c r="D57" s="74" t="inlineStr">
        <is>
          <t>oz</t>
        </is>
      </c>
      <c r="E57" s="36" t="n">
        <v>3200</v>
      </c>
      <c r="F57" s="35" t="n">
        <v>2900</v>
      </c>
      <c r="G57" s="35" t="n">
        <v>3300</v>
      </c>
      <c r="H57" s="35" t="n">
        <v>3050</v>
      </c>
      <c r="I57" s="75" t="n">
        <v>3</v>
      </c>
      <c r="J57" s="76" t="inlineStr">
        <is>
          <t>3.1%</t>
        </is>
      </c>
      <c r="K57" s="76" t="inlineStr">
        <is>
          <t>1.0%</t>
        </is>
      </c>
      <c r="L57" s="78" t="inlineStr">
        <is>
          <t>AGGRESSIVE</t>
        </is>
      </c>
      <c r="M57" s="71" t="inlineStr">
        <is>
          <t>100 oz / 0.5%</t>
        </is>
      </c>
      <c r="N57" s="71" t="inlineStr">
        <is>
          <t>500 oz / 1%</t>
        </is>
      </c>
      <c r="O57" s="71" t="inlineStr">
        <is>
          <t>1,000 oz / 1.5%</t>
        </is>
      </c>
      <c r="P57" s="78" t="inlineStr">
        <is>
          <t>✗ NO</t>
        </is>
      </c>
      <c r="Q57" s="44" t="n">
        <v>1</v>
      </c>
      <c r="R57" s="77" t="n">
        <v>320000</v>
      </c>
    </row>
    <row r="58" ht="16" customHeight="1">
      <c r="A58" s="64" t="inlineStr">
        <is>
          <t>REF-MIN-007</t>
        </is>
      </c>
      <c r="B58" s="65" t="inlineStr">
        <is>
          <t>ZNC-ALG</t>
        </is>
      </c>
      <c r="C58" s="66" t="inlineStr">
        <is>
          <t>Zinc Concentrate 50% Algeria</t>
        </is>
      </c>
      <c r="D58" s="67" t="inlineStr">
        <is>
          <t>DMT</t>
        </is>
      </c>
      <c r="E58" s="16" t="n">
        <v>1650</v>
      </c>
      <c r="F58" s="15" t="n">
        <v>1100</v>
      </c>
      <c r="G58" s="15" t="n">
        <v>1730</v>
      </c>
      <c r="H58" s="15" t="n">
        <v>1350</v>
      </c>
      <c r="I58" s="68" t="n">
        <v>5</v>
      </c>
      <c r="J58" s="69" t="inlineStr">
        <is>
          <t>4.8%</t>
        </is>
      </c>
      <c r="K58" s="69" t="inlineStr">
        <is>
          <t>1.5%</t>
        </is>
      </c>
      <c r="L58" s="30" t="inlineStr">
        <is>
          <t>STANDARD</t>
        </is>
      </c>
      <c r="M58" s="64" t="inlineStr">
        <is>
          <t>5,000 DMT / 1%</t>
        </is>
      </c>
      <c r="N58" s="64" t="inlineStr">
        <is>
          <t>10,000 DMT / 2%</t>
        </is>
      </c>
      <c r="O58" s="64" t="inlineStr">
        <is>
          <t>20,000 DMT / 3%</t>
        </is>
      </c>
      <c r="P58" s="78" t="inlineStr">
        <is>
          <t>✗ NO</t>
        </is>
      </c>
      <c r="Q58" s="28" t="n">
        <v>1</v>
      </c>
      <c r="R58" s="70" t="n">
        <v>8250000</v>
      </c>
    </row>
    <row r="59" ht="16" customHeight="1">
      <c r="A59" s="71" t="inlineStr">
        <is>
          <t>REF-MIN-008</t>
        </is>
      </c>
      <c r="B59" s="72" t="inlineStr">
        <is>
          <t>BAR-ALG</t>
        </is>
      </c>
      <c r="C59" s="73" t="inlineStr">
        <is>
          <t>Barite API Grade Algeria</t>
        </is>
      </c>
      <c r="D59" s="74" t="inlineStr">
        <is>
          <t>MT</t>
        </is>
      </c>
      <c r="E59" s="36" t="n">
        <v>155</v>
      </c>
      <c r="F59" s="35" t="n">
        <v>108</v>
      </c>
      <c r="G59" s="35" t="n">
        <v>163</v>
      </c>
      <c r="H59" s="35" t="n">
        <v>140</v>
      </c>
      <c r="I59" s="75" t="n">
        <v>4</v>
      </c>
      <c r="J59" s="76" t="inlineStr">
        <is>
          <t>5.2%</t>
        </is>
      </c>
      <c r="K59" s="76" t="inlineStr">
        <is>
          <t>2.0%</t>
        </is>
      </c>
      <c r="L59" s="30" t="inlineStr">
        <is>
          <t>STANDARD</t>
        </is>
      </c>
      <c r="M59" s="71" t="inlineStr">
        <is>
          <t>2,000 MT / 1%</t>
        </is>
      </c>
      <c r="N59" s="71" t="inlineStr">
        <is>
          <t>5,000 MT / 2%</t>
        </is>
      </c>
      <c r="O59" s="71" t="inlineStr">
        <is>
          <t>10,000 MT / 3%</t>
        </is>
      </c>
      <c r="P59" s="30" t="inlineStr">
        <is>
          <t>✓ YES</t>
        </is>
      </c>
      <c r="Q59" s="44" t="n">
        <v>2</v>
      </c>
      <c r="R59" s="77" t="n">
        <v>310000</v>
      </c>
    </row>
    <row r="60" ht="16" customHeight="1">
      <c r="A60" s="64" t="inlineStr">
        <is>
          <t>REF-PET-001</t>
        </is>
      </c>
      <c r="B60" s="65" t="inlineStr">
        <is>
          <t>PP-HOM</t>
        </is>
      </c>
      <c r="C60" s="66" t="inlineStr">
        <is>
          <t>PP Homopolymer Raffia Grade</t>
        </is>
      </c>
      <c r="D60" s="67" t="inlineStr">
        <is>
          <t>MT</t>
        </is>
      </c>
      <c r="E60" s="16" t="n">
        <v>920</v>
      </c>
      <c r="F60" s="15" t="n">
        <v>840</v>
      </c>
      <c r="G60" s="15" t="n">
        <v>960</v>
      </c>
      <c r="H60" s="15" t="n">
        <v>880</v>
      </c>
      <c r="I60" s="68" t="n">
        <v>5</v>
      </c>
      <c r="J60" s="69" t="inlineStr">
        <is>
          <t>4.3%</t>
        </is>
      </c>
      <c r="K60" s="69" t="inlineStr">
        <is>
          <t>1.5%</t>
        </is>
      </c>
      <c r="L60" s="30" t="inlineStr">
        <is>
          <t>STANDARD</t>
        </is>
      </c>
      <c r="M60" s="64" t="inlineStr">
        <is>
          <t>500 MT / 1%</t>
        </is>
      </c>
      <c r="N60" s="64" t="inlineStr">
        <is>
          <t>2,000 MT / 2%</t>
        </is>
      </c>
      <c r="O60" s="64" t="inlineStr">
        <is>
          <t>5,000 MT / 3%</t>
        </is>
      </c>
      <c r="P60" s="30" t="inlineStr">
        <is>
          <t>✓ YES</t>
        </is>
      </c>
      <c r="Q60" s="28" t="n">
        <v>3</v>
      </c>
      <c r="R60" s="70" t="n">
        <v>460000</v>
      </c>
    </row>
    <row r="61" ht="16" customHeight="1">
      <c r="A61" s="71" t="inlineStr">
        <is>
          <t>REF-PET-002</t>
        </is>
      </c>
      <c r="B61" s="72" t="inlineStr">
        <is>
          <t>PP-COP</t>
        </is>
      </c>
      <c r="C61" s="73" t="inlineStr">
        <is>
          <t>PP Copolymer Impact Grade</t>
        </is>
      </c>
      <c r="D61" s="74" t="inlineStr">
        <is>
          <t>MT</t>
        </is>
      </c>
      <c r="E61" s="36" t="n">
        <v>970</v>
      </c>
      <c r="F61" s="35" t="n">
        <v>880</v>
      </c>
      <c r="G61" s="35" t="n">
        <v>1010</v>
      </c>
      <c r="H61" s="35" t="n">
        <v>930</v>
      </c>
      <c r="I61" s="75" t="n">
        <v>5</v>
      </c>
      <c r="J61" s="76" t="inlineStr">
        <is>
          <t>4.1%</t>
        </is>
      </c>
      <c r="K61" s="76" t="inlineStr">
        <is>
          <t>1.5%</t>
        </is>
      </c>
      <c r="L61" s="30" t="inlineStr">
        <is>
          <t>STANDARD</t>
        </is>
      </c>
      <c r="M61" s="71" t="inlineStr">
        <is>
          <t>100 MT / 1%</t>
        </is>
      </c>
      <c r="N61" s="71" t="inlineStr">
        <is>
          <t>500 MT / 2%</t>
        </is>
      </c>
      <c r="O61" s="71" t="inlineStr">
        <is>
          <t>2,000 MT / 3%</t>
        </is>
      </c>
      <c r="P61" s="78" t="inlineStr">
        <is>
          <t>✗ NO</t>
        </is>
      </c>
      <c r="Q61" s="44" t="n">
        <v>2</v>
      </c>
      <c r="R61" s="77" t="n">
        <v>97000</v>
      </c>
    </row>
    <row r="62" ht="16" customHeight="1">
      <c r="A62" s="64" t="inlineStr">
        <is>
          <t>REF-PET-003</t>
        </is>
      </c>
      <c r="B62" s="65" t="inlineStr">
        <is>
          <t>HDPE-PG</t>
        </is>
      </c>
      <c r="C62" s="66" t="inlineStr">
        <is>
          <t>HDPE Pipe Grade PE100</t>
        </is>
      </c>
      <c r="D62" s="67" t="inlineStr">
        <is>
          <t>MT</t>
        </is>
      </c>
      <c r="E62" s="16" t="n">
        <v>920</v>
      </c>
      <c r="F62" s="15" t="n">
        <v>820</v>
      </c>
      <c r="G62" s="15" t="n">
        <v>960</v>
      </c>
      <c r="H62" s="15" t="n">
        <v>870</v>
      </c>
      <c r="I62" s="68" t="n">
        <v>5</v>
      </c>
      <c r="J62" s="69" t="inlineStr">
        <is>
          <t>4.3%</t>
        </is>
      </c>
      <c r="K62" s="69" t="inlineStr">
        <is>
          <t>1.5%</t>
        </is>
      </c>
      <c r="L62" s="30" t="inlineStr">
        <is>
          <t>STANDARD</t>
        </is>
      </c>
      <c r="M62" s="64" t="inlineStr">
        <is>
          <t>500 MT / 1%</t>
        </is>
      </c>
      <c r="N62" s="64" t="inlineStr">
        <is>
          <t>2,000 MT / 2%</t>
        </is>
      </c>
      <c r="O62" s="64" t="inlineStr">
        <is>
          <t>5,000 MT / 3%</t>
        </is>
      </c>
      <c r="P62" s="30" t="inlineStr">
        <is>
          <t>✓ YES</t>
        </is>
      </c>
      <c r="Q62" s="28" t="n">
        <v>3</v>
      </c>
      <c r="R62" s="70" t="n">
        <v>460000</v>
      </c>
    </row>
    <row r="63" ht="16" customHeight="1">
      <c r="A63" s="71" t="inlineStr">
        <is>
          <t>REF-PET-004</t>
        </is>
      </c>
      <c r="B63" s="72" t="inlineStr">
        <is>
          <t>HDPE-BL</t>
        </is>
      </c>
      <c r="C63" s="73" t="inlineStr">
        <is>
          <t>HDPE Blow Grade</t>
        </is>
      </c>
      <c r="D63" s="74" t="inlineStr">
        <is>
          <t>MT</t>
        </is>
      </c>
      <c r="E63" s="36" t="n">
        <v>900</v>
      </c>
      <c r="F63" s="35" t="n">
        <v>800</v>
      </c>
      <c r="G63" s="35" t="n">
        <v>940</v>
      </c>
      <c r="H63" s="35" t="n">
        <v>845</v>
      </c>
      <c r="I63" s="75" t="n">
        <v>5</v>
      </c>
      <c r="J63" s="76" t="inlineStr">
        <is>
          <t>4.4%</t>
        </is>
      </c>
      <c r="K63" s="76" t="inlineStr">
        <is>
          <t>1.5%</t>
        </is>
      </c>
      <c r="L63" s="30" t="inlineStr">
        <is>
          <t>STANDARD</t>
        </is>
      </c>
      <c r="M63" s="71" t="inlineStr">
        <is>
          <t>500 MT / 1%</t>
        </is>
      </c>
      <c r="N63" s="71" t="inlineStr">
        <is>
          <t>2,000 MT / 2%</t>
        </is>
      </c>
      <c r="O63" s="71" t="inlineStr">
        <is>
          <t>5,000 MT / 3%</t>
        </is>
      </c>
      <c r="P63" s="30" t="inlineStr">
        <is>
          <t>✓ YES</t>
        </is>
      </c>
      <c r="Q63" s="44" t="n">
        <v>3</v>
      </c>
      <c r="R63" s="77" t="n">
        <v>450000</v>
      </c>
    </row>
    <row r="64" ht="16" customHeight="1">
      <c r="A64" s="64" t="inlineStr">
        <is>
          <t>REF-PET-005</t>
        </is>
      </c>
      <c r="B64" s="65" t="inlineStr">
        <is>
          <t>LDPE-FG</t>
        </is>
      </c>
      <c r="C64" s="66" t="inlineStr">
        <is>
          <t>LDPE Film Grade Qatar</t>
        </is>
      </c>
      <c r="D64" s="67" t="inlineStr">
        <is>
          <t>MT</t>
        </is>
      </c>
      <c r="E64" s="16" t="n">
        <v>900</v>
      </c>
      <c r="F64" s="15" t="n">
        <v>820</v>
      </c>
      <c r="G64" s="15" t="n">
        <v>940</v>
      </c>
      <c r="H64" s="15" t="n">
        <v>855</v>
      </c>
      <c r="I64" s="68" t="n">
        <v>4</v>
      </c>
      <c r="J64" s="69" t="inlineStr">
        <is>
          <t>4.4%</t>
        </is>
      </c>
      <c r="K64" s="69" t="inlineStr">
        <is>
          <t>1.5%</t>
        </is>
      </c>
      <c r="L64" s="30" t="inlineStr">
        <is>
          <t>STANDARD</t>
        </is>
      </c>
      <c r="M64" s="64" t="inlineStr">
        <is>
          <t>200 MT / 1%</t>
        </is>
      </c>
      <c r="N64" s="64" t="inlineStr">
        <is>
          <t>1,000 MT / 2%</t>
        </is>
      </c>
      <c r="O64" s="64" t="inlineStr">
        <is>
          <t>5,000 MT / 3%</t>
        </is>
      </c>
      <c r="P64" s="30" t="inlineStr">
        <is>
          <t>✓ YES</t>
        </is>
      </c>
      <c r="Q64" s="28" t="n">
        <v>2</v>
      </c>
      <c r="R64" s="70" t="n">
        <v>180000</v>
      </c>
    </row>
    <row r="65" ht="16" customHeight="1">
      <c r="A65" s="71" t="inlineStr">
        <is>
          <t>REF-PET-006</t>
        </is>
      </c>
      <c r="B65" s="72" t="inlineStr">
        <is>
          <t>LLDPE4</t>
        </is>
      </c>
      <c r="C65" s="73" t="inlineStr">
        <is>
          <t>LLDPE C4 Butene Borouge</t>
        </is>
      </c>
      <c r="D65" s="74" t="inlineStr">
        <is>
          <t>MT</t>
        </is>
      </c>
      <c r="E65" s="36" t="n">
        <v>920</v>
      </c>
      <c r="F65" s="35" t="n">
        <v>840</v>
      </c>
      <c r="G65" s="35" t="n">
        <v>960</v>
      </c>
      <c r="H65" s="35" t="n">
        <v>880</v>
      </c>
      <c r="I65" s="75" t="n">
        <v>4</v>
      </c>
      <c r="J65" s="76" t="inlineStr">
        <is>
          <t>4.3%</t>
        </is>
      </c>
      <c r="K65" s="76" t="inlineStr">
        <is>
          <t>1.5%</t>
        </is>
      </c>
      <c r="L65" s="30" t="inlineStr">
        <is>
          <t>STANDARD</t>
        </is>
      </c>
      <c r="M65" s="71" t="inlineStr">
        <is>
          <t>200 MT / 1%</t>
        </is>
      </c>
      <c r="N65" s="71" t="inlineStr">
        <is>
          <t>1,000 MT / 2%</t>
        </is>
      </c>
      <c r="O65" s="71" t="inlineStr">
        <is>
          <t>5,000 MT / 3%</t>
        </is>
      </c>
      <c r="P65" s="78" t="inlineStr">
        <is>
          <t>✗ NO</t>
        </is>
      </c>
      <c r="Q65" s="44" t="n">
        <v>2</v>
      </c>
      <c r="R65" s="77" t="n">
        <v>184000</v>
      </c>
    </row>
    <row r="66" ht="16" customHeight="1">
      <c r="A66" s="64" t="inlineStr">
        <is>
          <t>REF-PET-007</t>
        </is>
      </c>
      <c r="B66" s="65" t="inlineStr">
        <is>
          <t>PVCR-K</t>
        </is>
      </c>
      <c r="C66" s="66" t="inlineStr">
        <is>
          <t>PVC Resin S-PVC K67</t>
        </is>
      </c>
      <c r="D66" s="67" t="inlineStr">
        <is>
          <t>MT</t>
        </is>
      </c>
      <c r="E66" s="16" t="n">
        <v>820</v>
      </c>
      <c r="F66" s="15" t="n">
        <v>720</v>
      </c>
      <c r="G66" s="15" t="n">
        <v>855</v>
      </c>
      <c r="H66" s="15" t="n">
        <v>780</v>
      </c>
      <c r="I66" s="68" t="n">
        <v>4</v>
      </c>
      <c r="J66" s="69" t="inlineStr">
        <is>
          <t>4.3%</t>
        </is>
      </c>
      <c r="K66" s="69" t="inlineStr">
        <is>
          <t>1.8%</t>
        </is>
      </c>
      <c r="L66" s="30" t="inlineStr">
        <is>
          <t>STANDARD</t>
        </is>
      </c>
      <c r="M66" s="64" t="inlineStr">
        <is>
          <t>200 MT / 1%</t>
        </is>
      </c>
      <c r="N66" s="64" t="inlineStr">
        <is>
          <t>1,000 MT / 2%</t>
        </is>
      </c>
      <c r="O66" s="64" t="inlineStr">
        <is>
          <t>5,000 MT / 3%</t>
        </is>
      </c>
      <c r="P66" s="78" t="inlineStr">
        <is>
          <t>✗ NO</t>
        </is>
      </c>
      <c r="Q66" s="28" t="n">
        <v>2</v>
      </c>
      <c r="R66" s="70" t="n">
        <v>164000</v>
      </c>
    </row>
    <row r="67" ht="16" customHeight="1">
      <c r="A67" s="71" t="inlineStr">
        <is>
          <t>REF-PET-010</t>
        </is>
      </c>
      <c r="B67" s="72" t="inlineStr">
        <is>
          <t>UREA-F</t>
        </is>
      </c>
      <c r="C67" s="73" t="inlineStr">
        <is>
          <t>Urea 46% Granular Fertiglobe</t>
        </is>
      </c>
      <c r="D67" s="74" t="inlineStr">
        <is>
          <t>MT</t>
        </is>
      </c>
      <c r="E67" s="36" t="n">
        <v>408</v>
      </c>
      <c r="F67" s="35" t="n">
        <v>350</v>
      </c>
      <c r="G67" s="35" t="n">
        <v>425</v>
      </c>
      <c r="H67" s="35" t="n">
        <v>390</v>
      </c>
      <c r="I67" s="75" t="n">
        <v>5</v>
      </c>
      <c r="J67" s="76" t="inlineStr">
        <is>
          <t>4.2%</t>
        </is>
      </c>
      <c r="K67" s="76" t="inlineStr">
        <is>
          <t>1.8%</t>
        </is>
      </c>
      <c r="L67" s="30" t="inlineStr">
        <is>
          <t>STANDARD</t>
        </is>
      </c>
      <c r="M67" s="71" t="inlineStr">
        <is>
          <t>5,000 MT / 1%</t>
        </is>
      </c>
      <c r="N67" s="71" t="inlineStr">
        <is>
          <t>20,000 MT / 2%</t>
        </is>
      </c>
      <c r="O67" s="71" t="inlineStr">
        <is>
          <t>50,000 MT / 3%</t>
        </is>
      </c>
      <c r="P67" s="30" t="inlineStr">
        <is>
          <t>✓ YES</t>
        </is>
      </c>
      <c r="Q67" s="44" t="n">
        <v>3</v>
      </c>
      <c r="R67" s="77" t="n">
        <v>2040000</v>
      </c>
    </row>
    <row r="68" ht="16" customHeight="1">
      <c r="A68" s="64" t="inlineStr">
        <is>
          <t>REF-PET-011</t>
        </is>
      </c>
      <c r="B68" s="65" t="inlineStr">
        <is>
          <t>AMN-FG</t>
        </is>
      </c>
      <c r="C68" s="66" t="inlineStr">
        <is>
          <t>Anhydrous Ammonia Fertiglobe</t>
        </is>
      </c>
      <c r="D68" s="67" t="inlineStr">
        <is>
          <t>MT</t>
        </is>
      </c>
      <c r="E68" s="16" t="n">
        <v>345</v>
      </c>
      <c r="F68" s="15" t="n">
        <v>275</v>
      </c>
      <c r="G68" s="15" t="n">
        <v>362</v>
      </c>
      <c r="H68" s="15" t="n">
        <v>310</v>
      </c>
      <c r="I68" s="68" t="n">
        <v>4</v>
      </c>
      <c r="J68" s="69" t="inlineStr">
        <is>
          <t>4.9%</t>
        </is>
      </c>
      <c r="K68" s="69" t="inlineStr">
        <is>
          <t>1.8%</t>
        </is>
      </c>
      <c r="L68" s="30" t="inlineStr">
        <is>
          <t>STANDARD</t>
        </is>
      </c>
      <c r="M68" s="64" t="inlineStr">
        <is>
          <t>5,000 MT / 1%</t>
        </is>
      </c>
      <c r="N68" s="64" t="inlineStr">
        <is>
          <t>15,000 MT / 2%</t>
        </is>
      </c>
      <c r="O68" s="64" t="inlineStr">
        <is>
          <t>30,000 MT / 3%</t>
        </is>
      </c>
      <c r="P68" s="30" t="inlineStr">
        <is>
          <t>✓ YES</t>
        </is>
      </c>
      <c r="Q68" s="28" t="n">
        <v>2</v>
      </c>
      <c r="R68" s="70" t="n">
        <v>1725000</v>
      </c>
    </row>
    <row r="69" ht="16" customHeight="1">
      <c r="A69" s="71" t="inlineStr">
        <is>
          <t>REF-PET-012</t>
        </is>
      </c>
      <c r="B69" s="72" t="inlineStr">
        <is>
          <t>DAP-MA</t>
        </is>
      </c>
      <c r="C69" s="73" t="inlineStr">
        <is>
          <t>DAP Fertilizer 18-46-0 Ma'aden</t>
        </is>
      </c>
      <c r="D69" s="74" t="inlineStr">
        <is>
          <t>MT</t>
        </is>
      </c>
      <c r="E69" s="36" t="n">
        <v>610</v>
      </c>
      <c r="F69" s="35" t="n">
        <v>520</v>
      </c>
      <c r="G69" s="35" t="n">
        <v>638</v>
      </c>
      <c r="H69" s="35" t="n">
        <v>580</v>
      </c>
      <c r="I69" s="75" t="n">
        <v>5</v>
      </c>
      <c r="J69" s="76" t="inlineStr">
        <is>
          <t>4.6%</t>
        </is>
      </c>
      <c r="K69" s="76" t="inlineStr">
        <is>
          <t>1.8%</t>
        </is>
      </c>
      <c r="L69" s="30" t="inlineStr">
        <is>
          <t>STANDARD</t>
        </is>
      </c>
      <c r="M69" s="71" t="inlineStr">
        <is>
          <t>5,000 MT / 1%</t>
        </is>
      </c>
      <c r="N69" s="71" t="inlineStr">
        <is>
          <t>20,000 MT / 2%</t>
        </is>
      </c>
      <c r="O69" s="71" t="inlineStr">
        <is>
          <t>50,000 MT / 3%</t>
        </is>
      </c>
      <c r="P69" s="30" t="inlineStr">
        <is>
          <t>✓ YES</t>
        </is>
      </c>
      <c r="Q69" s="44" t="n">
        <v>2</v>
      </c>
      <c r="R69" s="77" t="n">
        <v>3050000</v>
      </c>
    </row>
    <row r="70" ht="16" customHeight="1">
      <c r="A70" s="64" t="inlineStr">
        <is>
          <t>REF-PET-020</t>
        </is>
      </c>
      <c r="B70" s="65" t="inlineStr">
        <is>
          <t>MET-KS</t>
        </is>
      </c>
      <c r="C70" s="66" t="inlineStr">
        <is>
          <t>Methanol IMPCA Grade Saudi</t>
        </is>
      </c>
      <c r="D70" s="67" t="inlineStr">
        <is>
          <t>MT</t>
        </is>
      </c>
      <c r="E70" s="16" t="n">
        <v>310</v>
      </c>
      <c r="F70" s="15" t="n">
        <v>240</v>
      </c>
      <c r="G70" s="15" t="n">
        <v>325</v>
      </c>
      <c r="H70" s="15" t="n">
        <v>280</v>
      </c>
      <c r="I70" s="68" t="n">
        <v>4</v>
      </c>
      <c r="J70" s="69" t="inlineStr">
        <is>
          <t>4.8%</t>
        </is>
      </c>
      <c r="K70" s="69" t="inlineStr">
        <is>
          <t>2.0%</t>
        </is>
      </c>
      <c r="L70" s="30" t="inlineStr">
        <is>
          <t>STANDARD</t>
        </is>
      </c>
      <c r="M70" s="64" t="inlineStr">
        <is>
          <t>5,000 MT / 1%</t>
        </is>
      </c>
      <c r="N70" s="64" t="inlineStr">
        <is>
          <t>20,000 MT / 2%</t>
        </is>
      </c>
      <c r="O70" s="64" t="inlineStr">
        <is>
          <t>50,000 MT / 3%</t>
        </is>
      </c>
      <c r="P70" s="30" t="inlineStr">
        <is>
          <t>✓ YES</t>
        </is>
      </c>
      <c r="Q70" s="28" t="n">
        <v>3</v>
      </c>
      <c r="R70" s="70" t="n">
        <v>1550000</v>
      </c>
    </row>
    <row r="71" ht="16" customHeight="1">
      <c r="A71" s="71" t="inlineStr">
        <is>
          <t>REF-PET-021</t>
        </is>
      </c>
      <c r="B71" s="72" t="inlineStr">
        <is>
          <t>MEG-SA</t>
        </is>
      </c>
      <c r="C71" s="73" t="inlineStr">
        <is>
          <t>MEG Fiber Grade ≥99.9%</t>
        </is>
      </c>
      <c r="D71" s="74" t="inlineStr">
        <is>
          <t>MT</t>
        </is>
      </c>
      <c r="E71" s="36" t="n">
        <v>520</v>
      </c>
      <c r="F71" s="35" t="n">
        <v>420</v>
      </c>
      <c r="G71" s="35" t="n">
        <v>545</v>
      </c>
      <c r="H71" s="35" t="n">
        <v>480</v>
      </c>
      <c r="I71" s="75" t="n">
        <v>4</v>
      </c>
      <c r="J71" s="76" t="inlineStr">
        <is>
          <t>4.8%</t>
        </is>
      </c>
      <c r="K71" s="76" t="inlineStr">
        <is>
          <t>1.8%</t>
        </is>
      </c>
      <c r="L71" s="30" t="inlineStr">
        <is>
          <t>STANDARD</t>
        </is>
      </c>
      <c r="M71" s="71" t="inlineStr">
        <is>
          <t>1,000 MT / 1%</t>
        </is>
      </c>
      <c r="N71" s="71" t="inlineStr">
        <is>
          <t>5,000 MT / 2%</t>
        </is>
      </c>
      <c r="O71" s="71" t="inlineStr">
        <is>
          <t>10,000 MT / 3%</t>
        </is>
      </c>
      <c r="P71" s="78" t="inlineStr">
        <is>
          <t>✗ NO</t>
        </is>
      </c>
      <c r="Q71" s="44" t="n">
        <v>2</v>
      </c>
      <c r="R71" s="77" t="n">
        <v>520000</v>
      </c>
    </row>
    <row r="72" ht="16" customHeight="1">
      <c r="A72" s="64" t="inlineStr">
        <is>
          <t>REF-PET-022</t>
        </is>
      </c>
      <c r="B72" s="65" t="inlineStr">
        <is>
          <t>BNZ-SA</t>
        </is>
      </c>
      <c r="C72" s="66" t="inlineStr">
        <is>
          <t>Benzene Petrochemical Saudi</t>
        </is>
      </c>
      <c r="D72" s="67" t="inlineStr">
        <is>
          <t>MT</t>
        </is>
      </c>
      <c r="E72" s="16" t="n">
        <v>730</v>
      </c>
      <c r="F72" s="15" t="n">
        <v>600</v>
      </c>
      <c r="G72" s="15" t="n">
        <v>762</v>
      </c>
      <c r="H72" s="15" t="n">
        <v>680</v>
      </c>
      <c r="I72" s="68" t="n">
        <v>4</v>
      </c>
      <c r="J72" s="69" t="inlineStr">
        <is>
          <t>4.4%</t>
        </is>
      </c>
      <c r="K72" s="69" t="inlineStr">
        <is>
          <t>1.8%</t>
        </is>
      </c>
      <c r="L72" s="78" t="inlineStr">
        <is>
          <t>AGGRESSIVE</t>
        </is>
      </c>
      <c r="M72" s="64" t="inlineStr">
        <is>
          <t>1,000 MT / 1%</t>
        </is>
      </c>
      <c r="N72" s="64" t="inlineStr">
        <is>
          <t>5,000 MT / 2%</t>
        </is>
      </c>
      <c r="O72" s="64" t="inlineStr">
        <is>
          <t>10,000 MT / 3%</t>
        </is>
      </c>
      <c r="P72" s="78" t="inlineStr">
        <is>
          <t>✗ NO</t>
        </is>
      </c>
      <c r="Q72" s="28" t="n">
        <v>1</v>
      </c>
      <c r="R72" s="70" t="n">
        <v>730000</v>
      </c>
    </row>
    <row r="73" ht="16" customHeight="1">
      <c r="A73" s="71" t="inlineStr">
        <is>
          <t>REF-PET-023</t>
        </is>
      </c>
      <c r="B73" s="72" t="inlineStr">
        <is>
          <t>PX-SAU</t>
        </is>
      </c>
      <c r="C73" s="73" t="inlineStr">
        <is>
          <t>Paraxylene Fiber Grade Saudi</t>
        </is>
      </c>
      <c r="D73" s="74" t="inlineStr">
        <is>
          <t>MT</t>
        </is>
      </c>
      <c r="E73" s="36" t="n">
        <v>870</v>
      </c>
      <c r="F73" s="35" t="n">
        <v>740</v>
      </c>
      <c r="G73" s="35" t="n">
        <v>910</v>
      </c>
      <c r="H73" s="35" t="n">
        <v>820</v>
      </c>
      <c r="I73" s="75" t="n">
        <v>4</v>
      </c>
      <c r="J73" s="76" t="inlineStr">
        <is>
          <t>4.6%</t>
        </is>
      </c>
      <c r="K73" s="76" t="inlineStr">
        <is>
          <t>1.5%</t>
        </is>
      </c>
      <c r="L73" s="30" t="inlineStr">
        <is>
          <t>STANDARD</t>
        </is>
      </c>
      <c r="M73" s="71" t="inlineStr">
        <is>
          <t>1,000 MT / 1%</t>
        </is>
      </c>
      <c r="N73" s="71" t="inlineStr">
        <is>
          <t>5,000 MT / 2%</t>
        </is>
      </c>
      <c r="O73" s="71" t="inlineStr">
        <is>
          <t>10,000 MT / 3%</t>
        </is>
      </c>
      <c r="P73" s="78" t="inlineStr">
        <is>
          <t>✗ NO</t>
        </is>
      </c>
      <c r="Q73" s="44" t="n">
        <v>1</v>
      </c>
      <c r="R73" s="77" t="n">
        <v>870000</v>
      </c>
    </row>
    <row r="74" ht="16" customHeight="1">
      <c r="A74" s="64" t="inlineStr">
        <is>
          <t>REF-PET-024</t>
        </is>
      </c>
      <c r="B74" s="65" t="inlineStr">
        <is>
          <t>CBN33</t>
        </is>
      </c>
      <c r="C74" s="66" t="inlineStr">
        <is>
          <t>Carbon Black N330 HAF Saudi</t>
        </is>
      </c>
      <c r="D74" s="67" t="inlineStr">
        <is>
          <t>MT</t>
        </is>
      </c>
      <c r="E74" s="16" t="n">
        <v>870</v>
      </c>
      <c r="F74" s="15" t="n">
        <v>720</v>
      </c>
      <c r="G74" s="15" t="n">
        <v>910</v>
      </c>
      <c r="H74" s="15" t="n">
        <v>820</v>
      </c>
      <c r="I74" s="68" t="n">
        <v>4</v>
      </c>
      <c r="J74" s="69" t="inlineStr">
        <is>
          <t>4.6%</t>
        </is>
      </c>
      <c r="K74" s="69" t="inlineStr">
        <is>
          <t>1.8%</t>
        </is>
      </c>
      <c r="L74" s="30" t="inlineStr">
        <is>
          <t>STANDARD</t>
        </is>
      </c>
      <c r="M74" s="64" t="inlineStr">
        <is>
          <t>100 MT / 1%</t>
        </is>
      </c>
      <c r="N74" s="64" t="inlineStr">
        <is>
          <t>500 MT / 2%</t>
        </is>
      </c>
      <c r="O74" s="64" t="inlineStr">
        <is>
          <t>2,000 MT / 3%</t>
        </is>
      </c>
      <c r="P74" s="78" t="inlineStr">
        <is>
          <t>✗ NO</t>
        </is>
      </c>
      <c r="Q74" s="28" t="n">
        <v>2</v>
      </c>
      <c r="R74" s="70" t="n">
        <v>87000</v>
      </c>
    </row>
    <row r="75" ht="16" customHeight="1">
      <c r="A75" s="71" t="inlineStr">
        <is>
          <t>REF-PET-030</t>
        </is>
      </c>
      <c r="B75" s="72" t="inlineStr">
        <is>
          <t>BIT-60</t>
        </is>
      </c>
      <c r="C75" s="73" t="inlineStr">
        <is>
          <t>Bitumen 60/70 Pen Saudi</t>
        </is>
      </c>
      <c r="D75" s="74" t="inlineStr">
        <is>
          <t>MT</t>
        </is>
      </c>
      <c r="E75" s="36" t="n">
        <v>355</v>
      </c>
      <c r="F75" s="35" t="n">
        <v>275</v>
      </c>
      <c r="G75" s="35" t="n">
        <v>372</v>
      </c>
      <c r="H75" s="35" t="n">
        <v>310</v>
      </c>
      <c r="I75" s="75" t="n">
        <v>4</v>
      </c>
      <c r="J75" s="76" t="inlineStr">
        <is>
          <t>4.8%</t>
        </is>
      </c>
      <c r="K75" s="76" t="inlineStr">
        <is>
          <t>2.0%</t>
        </is>
      </c>
      <c r="L75" s="30" t="inlineStr">
        <is>
          <t>STANDARD</t>
        </is>
      </c>
      <c r="M75" s="71" t="inlineStr">
        <is>
          <t>1,000 MT / 1%</t>
        </is>
      </c>
      <c r="N75" s="71" t="inlineStr">
        <is>
          <t>5,000 MT / 2%</t>
        </is>
      </c>
      <c r="O75" s="71" t="inlineStr">
        <is>
          <t>10,000 MT / 3%</t>
        </is>
      </c>
      <c r="P75" s="30" t="inlineStr">
        <is>
          <t>✓ YES</t>
        </is>
      </c>
      <c r="Q75" s="44" t="n">
        <v>3</v>
      </c>
      <c r="R75" s="77" t="n">
        <v>355000</v>
      </c>
    </row>
    <row r="76" ht="16" customHeight="1">
      <c r="A76" s="64" t="inlineStr">
        <is>
          <t>REF-PET-031</t>
        </is>
      </c>
      <c r="B76" s="65" t="inlineStr">
        <is>
          <t>BIT-UA</t>
        </is>
      </c>
      <c r="C76" s="66" t="inlineStr">
        <is>
          <t>Bitumen 80/100 Pen UAE</t>
        </is>
      </c>
      <c r="D76" s="67" t="inlineStr">
        <is>
          <t>MT</t>
        </is>
      </c>
      <c r="E76" s="16" t="n">
        <v>365</v>
      </c>
      <c r="F76" s="15" t="n">
        <v>282</v>
      </c>
      <c r="G76" s="15" t="n">
        <v>383</v>
      </c>
      <c r="H76" s="15" t="n">
        <v>320</v>
      </c>
      <c r="I76" s="68" t="n">
        <v>4</v>
      </c>
      <c r="J76" s="69" t="inlineStr">
        <is>
          <t>4.9%</t>
        </is>
      </c>
      <c r="K76" s="69" t="inlineStr">
        <is>
          <t>2.0%</t>
        </is>
      </c>
      <c r="L76" s="30" t="inlineStr">
        <is>
          <t>STANDARD</t>
        </is>
      </c>
      <c r="M76" s="64" t="inlineStr">
        <is>
          <t>1,000 MT / 1%</t>
        </is>
      </c>
      <c r="N76" s="64" t="inlineStr">
        <is>
          <t>5,000 MT / 2%</t>
        </is>
      </c>
      <c r="O76" s="64" t="inlineStr">
        <is>
          <t>10,000 MT / 3%</t>
        </is>
      </c>
      <c r="P76" s="30" t="inlineStr">
        <is>
          <t>✓ YES</t>
        </is>
      </c>
      <c r="Q76" s="28" t="n">
        <v>2</v>
      </c>
      <c r="R76" s="70" t="n">
        <v>365000</v>
      </c>
    </row>
    <row r="77" ht="16" customHeight="1">
      <c r="A77" s="71" t="inlineStr">
        <is>
          <t>REF-PET-032</t>
        </is>
      </c>
      <c r="B77" s="72" t="inlineStr">
        <is>
          <t>BOG2</t>
        </is>
      </c>
      <c r="C77" s="73" t="inlineStr">
        <is>
          <t>Base Oil Group II SN150</t>
        </is>
      </c>
      <c r="D77" s="74" t="inlineStr">
        <is>
          <t>MT</t>
        </is>
      </c>
      <c r="E77" s="36" t="n">
        <v>720</v>
      </c>
      <c r="F77" s="35" t="n">
        <v>590</v>
      </c>
      <c r="G77" s="35" t="n">
        <v>752</v>
      </c>
      <c r="H77" s="35" t="n">
        <v>680</v>
      </c>
      <c r="I77" s="75" t="n">
        <v>4</v>
      </c>
      <c r="J77" s="76" t="inlineStr">
        <is>
          <t>4.4%</t>
        </is>
      </c>
      <c r="K77" s="76" t="inlineStr">
        <is>
          <t>1.5%</t>
        </is>
      </c>
      <c r="L77" s="30" t="inlineStr">
        <is>
          <t>STANDARD</t>
        </is>
      </c>
      <c r="M77" s="71" t="inlineStr">
        <is>
          <t>1,000 MT / 1%</t>
        </is>
      </c>
      <c r="N77" s="71" t="inlineStr">
        <is>
          <t>5,000 MT / 2%</t>
        </is>
      </c>
      <c r="O77" s="71" t="inlineStr">
        <is>
          <t>10,000 MT / 3%</t>
        </is>
      </c>
      <c r="P77" s="78" t="inlineStr">
        <is>
          <t>✗ NO</t>
        </is>
      </c>
      <c r="Q77" s="44" t="n">
        <v>2</v>
      </c>
      <c r="R77" s="77" t="n">
        <v>720000</v>
      </c>
    </row>
  </sheetData>
  <mergeCells count="7">
    <mergeCell ref="A2:R2"/>
    <mergeCell ref="A4:D4"/>
    <mergeCell ref="E4:H4"/>
    <mergeCell ref="M4:O4"/>
    <mergeCell ref="I4:L4"/>
    <mergeCell ref="A1:R1"/>
    <mergeCell ref="P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7A1B"/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2" customWidth="1" min="4" max="4"/>
    <col width="22" customWidth="1" min="5" max="5"/>
    <col width="18" customWidth="1" min="6" max="6"/>
    <col width="14" customWidth="1" min="7" max="7"/>
    <col width="15" customWidth="1" min="8" max="8"/>
    <col width="12" customWidth="1" min="9" max="9"/>
    <col width="18" customWidth="1" min="10" max="10"/>
    <col width="14" customWidth="1" min="11" max="11"/>
    <col width="10" customWidth="1" min="12" max="12"/>
    <col width="18" customWidth="1" min="13" max="13"/>
    <col width="8" customWidth="1" min="14" max="14"/>
  </cols>
  <sheetData>
    <row r="1" ht="28" customHeight="1">
      <c r="A1" s="1" t="inlineStr">
        <is>
          <t>SLOI AI — Trade Routes Catalog  ·  34 Active Routes  ·  May 2026</t>
        </is>
      </c>
    </row>
    <row r="2" ht="18" customHeight="1">
      <c r="A2" s="2" t="inlineStr">
        <is>
          <t xml:space="preserve">  Each route = product + origin port + destination port + full cost breakdown  ·  🔵 Blue = editable  ·  🟢 Green = auto-calculated formula</t>
        </is>
      </c>
    </row>
    <row r="3" ht="4" customHeight="1"/>
    <row r="4" ht="16" customHeight="1">
      <c r="A4" s="3" t="inlineStr">
        <is>
          <t>ROUTE IDENTIFICATION</t>
        </is>
      </c>
      <c r="F4" s="4" t="inlineStr">
        <is>
          <t>COST BREAKDOWN (USD)</t>
        </is>
      </c>
      <c r="K4" s="5" t="inlineStr">
        <is>
          <t>LOGISTICS &amp; TERMS</t>
        </is>
      </c>
    </row>
    <row r="5" ht="28" customHeight="1">
      <c r="A5" s="9" t="inlineStr">
        <is>
          <t>Route ID</t>
        </is>
      </c>
      <c r="B5" s="9" t="inlineStr">
        <is>
          <t>Product</t>
        </is>
      </c>
      <c r="C5" s="9" t="inlineStr">
        <is>
          <t>Sector</t>
        </is>
      </c>
      <c r="D5" s="9" t="inlineStr">
        <is>
          <t>Port of Origin</t>
        </is>
      </c>
      <c r="E5" s="9" t="inlineStr">
        <is>
          <t>Port of Destination</t>
        </is>
      </c>
      <c r="F5" s="9" t="inlineStr">
        <is>
          <t>Market Price ($/unit)</t>
        </is>
      </c>
      <c r="G5" s="9" t="inlineStr">
        <is>
          <t>Freight ($/unit)</t>
        </is>
      </c>
      <c r="H5" s="9" t="inlineStr">
        <is>
          <t>CIF Price ($/unit)</t>
        </is>
      </c>
      <c r="I5" s="9" t="inlineStr">
        <is>
          <t>Import Duty %</t>
        </is>
      </c>
      <c r="J5" s="9" t="inlineStr">
        <is>
          <t>Landed Cost ($/unit)</t>
        </is>
      </c>
      <c r="K5" s="9" t="inlineStr">
        <is>
          <t>Lead Time (days)</t>
        </is>
      </c>
      <c r="L5" s="9" t="inlineStr">
        <is>
          <t>Incoterm</t>
        </is>
      </c>
      <c r="M5" s="9" t="inlineStr">
        <is>
          <t>Payment Terms</t>
        </is>
      </c>
      <c r="N5" s="9" t="inlineStr">
        <is>
          <t>Active</t>
        </is>
      </c>
    </row>
    <row r="6" ht="16" customHeight="1">
      <c r="A6" s="79" t="inlineStr">
        <is>
          <t>RT-001</t>
        </is>
      </c>
      <c r="B6" s="66" t="inlineStr">
        <is>
          <t>Steel Rebar G60</t>
        </is>
      </c>
      <c r="C6" s="80" t="inlineStr">
        <is>
          <t>Metals</t>
        </is>
      </c>
      <c r="D6" s="81" t="inlineStr">
        <is>
          <t>Jebel Ali, UAE</t>
        </is>
      </c>
      <c r="E6" s="81" t="inlineStr">
        <is>
          <t>Alexandria, Egypt</t>
        </is>
      </c>
      <c r="F6" s="15" t="n">
        <v>2840</v>
      </c>
      <c r="G6" s="15" t="n">
        <v>45</v>
      </c>
      <c r="H6" s="17">
        <f>F6+G6</f>
        <v/>
      </c>
      <c r="I6" s="24" t="n">
        <v>5</v>
      </c>
      <c r="J6" s="25">
        <f>H6*(1+I6/100)</f>
        <v/>
      </c>
      <c r="K6" s="82" t="n">
        <v>7</v>
      </c>
      <c r="L6" s="83" t="inlineStr">
        <is>
          <t>FOB</t>
        </is>
      </c>
      <c r="M6" s="81" t="inlineStr">
        <is>
          <t>LC at sight</t>
        </is>
      </c>
      <c r="N6" s="30" t="inlineStr">
        <is>
          <t>✓ Yes</t>
        </is>
      </c>
    </row>
    <row r="7" ht="16" customHeight="1">
      <c r="A7" s="84" t="inlineStr">
        <is>
          <t>RT-002</t>
        </is>
      </c>
      <c r="B7" s="73" t="inlineStr">
        <is>
          <t>Steel Rebar G60</t>
        </is>
      </c>
      <c r="C7" s="80" t="inlineStr">
        <is>
          <t>Metals</t>
        </is>
      </c>
      <c r="D7" s="85" t="inlineStr">
        <is>
          <t>Jebel Ali, UAE</t>
        </is>
      </c>
      <c r="E7" s="85" t="inlineStr">
        <is>
          <t>Aqaba, Jordan</t>
        </is>
      </c>
      <c r="F7" s="35" t="n">
        <v>2840</v>
      </c>
      <c r="G7" s="35" t="n">
        <v>52</v>
      </c>
      <c r="H7" s="17">
        <f>F7+G7</f>
        <v/>
      </c>
      <c r="I7" s="42" t="n">
        <v>5</v>
      </c>
      <c r="J7" s="25">
        <f>H7*(1+I7/100)</f>
        <v/>
      </c>
      <c r="K7" s="86" t="n">
        <v>8</v>
      </c>
      <c r="L7" s="87" t="inlineStr">
        <is>
          <t>FOB</t>
        </is>
      </c>
      <c r="M7" s="85" t="inlineStr">
        <is>
          <t>LC at sight</t>
        </is>
      </c>
      <c r="N7" s="30" t="inlineStr">
        <is>
          <t>✓ Yes</t>
        </is>
      </c>
    </row>
    <row r="8" ht="16" customHeight="1">
      <c r="A8" s="79" t="inlineStr">
        <is>
          <t>RT-003</t>
        </is>
      </c>
      <c r="B8" s="66" t="inlineStr">
        <is>
          <t>Steel Rebar G60</t>
        </is>
      </c>
      <c r="C8" s="80" t="inlineStr">
        <is>
          <t>Metals</t>
        </is>
      </c>
      <c r="D8" s="81" t="inlineStr">
        <is>
          <t>Jebel Ali, UAE</t>
        </is>
      </c>
      <c r="E8" s="81" t="inlineStr">
        <is>
          <t>Haifa, Israel</t>
        </is>
      </c>
      <c r="F8" s="15" t="n">
        <v>2840</v>
      </c>
      <c r="G8" s="15" t="n">
        <v>38</v>
      </c>
      <c r="H8" s="17">
        <f>F8+G8</f>
        <v/>
      </c>
      <c r="I8" s="24" t="n">
        <v>0</v>
      </c>
      <c r="J8" s="25">
        <f>H8*(1+I8/100)</f>
        <v/>
      </c>
      <c r="K8" s="82" t="n">
        <v>6</v>
      </c>
      <c r="L8" s="83" t="inlineStr">
        <is>
          <t>FOB</t>
        </is>
      </c>
      <c r="M8" s="81" t="inlineStr">
        <is>
          <t>TT in advance</t>
        </is>
      </c>
      <c r="N8" s="30" t="inlineStr">
        <is>
          <t>✓ Yes</t>
        </is>
      </c>
    </row>
    <row r="9" ht="16" customHeight="1">
      <c r="A9" s="84" t="inlineStr">
        <is>
          <t>RT-004</t>
        </is>
      </c>
      <c r="B9" s="73" t="inlineStr">
        <is>
          <t>Steel Rebar G60</t>
        </is>
      </c>
      <c r="C9" s="80" t="inlineStr">
        <is>
          <t>Metals</t>
        </is>
      </c>
      <c r="D9" s="85" t="inlineStr">
        <is>
          <t>Istanbul, Turkey</t>
        </is>
      </c>
      <c r="E9" s="85" t="inlineStr">
        <is>
          <t>Alexandria, Egypt</t>
        </is>
      </c>
      <c r="F9" s="35" t="n">
        <v>2840</v>
      </c>
      <c r="G9" s="35" t="n">
        <v>42</v>
      </c>
      <c r="H9" s="17">
        <f>F9+G9</f>
        <v/>
      </c>
      <c r="I9" s="42" t="n">
        <v>5</v>
      </c>
      <c r="J9" s="25">
        <f>H9*(1+I9/100)</f>
        <v/>
      </c>
      <c r="K9" s="86" t="n">
        <v>7</v>
      </c>
      <c r="L9" s="87" t="inlineStr">
        <is>
          <t>FOB</t>
        </is>
      </c>
      <c r="M9" s="85" t="inlineStr">
        <is>
          <t>LC at sight</t>
        </is>
      </c>
      <c r="N9" s="30" t="inlineStr">
        <is>
          <t>✓ Yes</t>
        </is>
      </c>
    </row>
    <row r="10" ht="16" customHeight="1">
      <c r="A10" s="79" t="inlineStr">
        <is>
          <t>RT-005</t>
        </is>
      </c>
      <c r="B10" s="66" t="inlineStr">
        <is>
          <t>Steel HR Coil SS400</t>
        </is>
      </c>
      <c r="C10" s="80" t="inlineStr">
        <is>
          <t>Metals</t>
        </is>
      </c>
      <c r="D10" s="81" t="inlineStr">
        <is>
          <t>Jebel Ali, UAE</t>
        </is>
      </c>
      <c r="E10" s="81" t="inlineStr">
        <is>
          <t>Port Said, Egypt</t>
        </is>
      </c>
      <c r="F10" s="15" t="n">
        <v>3100</v>
      </c>
      <c r="G10" s="15" t="n">
        <v>55</v>
      </c>
      <c r="H10" s="17">
        <f>F10+G10</f>
        <v/>
      </c>
      <c r="I10" s="24" t="n">
        <v>5</v>
      </c>
      <c r="J10" s="25">
        <f>H10*(1+I10/100)</f>
        <v/>
      </c>
      <c r="K10" s="82" t="n">
        <v>10</v>
      </c>
      <c r="L10" s="83" t="inlineStr">
        <is>
          <t>FOB</t>
        </is>
      </c>
      <c r="M10" s="81" t="inlineStr">
        <is>
          <t>LC at sight</t>
        </is>
      </c>
      <c r="N10" s="30" t="inlineStr">
        <is>
          <t>✓ Yes</t>
        </is>
      </c>
    </row>
    <row r="11" ht="16" customHeight="1">
      <c r="A11" s="84" t="inlineStr">
        <is>
          <t>RT-006</t>
        </is>
      </c>
      <c r="B11" s="73" t="inlineStr">
        <is>
          <t>Steel HR Coil SS400</t>
        </is>
      </c>
      <c r="C11" s="80" t="inlineStr">
        <is>
          <t>Metals</t>
        </is>
      </c>
      <c r="D11" s="85" t="inlineStr">
        <is>
          <t>Hamburg, Germany</t>
        </is>
      </c>
      <c r="E11" s="85" t="inlineStr">
        <is>
          <t>Jebel Ali, UAE</t>
        </is>
      </c>
      <c r="F11" s="35" t="n">
        <v>3100</v>
      </c>
      <c r="G11" s="35" t="n">
        <v>75</v>
      </c>
      <c r="H11" s="17">
        <f>F11+G11</f>
        <v/>
      </c>
      <c r="I11" s="42" t="n">
        <v>0</v>
      </c>
      <c r="J11" s="25">
        <f>H11*(1+I11/100)</f>
        <v/>
      </c>
      <c r="K11" s="86" t="n">
        <v>14</v>
      </c>
      <c r="L11" s="87" t="inlineStr">
        <is>
          <t>FOB</t>
        </is>
      </c>
      <c r="M11" s="85" t="inlineStr">
        <is>
          <t>LC 30 days</t>
        </is>
      </c>
      <c r="N11" s="30" t="inlineStr">
        <is>
          <t>✓ Yes</t>
        </is>
      </c>
    </row>
    <row r="12" ht="16" customHeight="1">
      <c r="A12" s="79" t="inlineStr">
        <is>
          <t>RT-007</t>
        </is>
      </c>
      <c r="B12" s="66" t="inlineStr">
        <is>
          <t>Aluminum 6061-T6</t>
        </is>
      </c>
      <c r="C12" s="80" t="inlineStr">
        <is>
          <t>Metals</t>
        </is>
      </c>
      <c r="D12" s="81" t="inlineStr">
        <is>
          <t>Jebel Ali, UAE</t>
        </is>
      </c>
      <c r="E12" s="81" t="inlineStr">
        <is>
          <t>Haifa, Israel</t>
        </is>
      </c>
      <c r="F12" s="15" t="n">
        <v>9200</v>
      </c>
      <c r="G12" s="15" t="n">
        <v>75</v>
      </c>
      <c r="H12" s="17">
        <f>F12+G12</f>
        <v/>
      </c>
      <c r="I12" s="24" t="n">
        <v>0</v>
      </c>
      <c r="J12" s="25">
        <f>H12*(1+I12/100)</f>
        <v/>
      </c>
      <c r="K12" s="82" t="n">
        <v>8</v>
      </c>
      <c r="L12" s="83" t="inlineStr">
        <is>
          <t>FOB</t>
        </is>
      </c>
      <c r="M12" s="81" t="inlineStr">
        <is>
          <t>TT in advance</t>
        </is>
      </c>
      <c r="N12" s="30" t="inlineStr">
        <is>
          <t>✓ Yes</t>
        </is>
      </c>
    </row>
    <row r="13" ht="16" customHeight="1">
      <c r="A13" s="84" t="inlineStr">
        <is>
          <t>RT-008</t>
        </is>
      </c>
      <c r="B13" s="73" t="inlineStr">
        <is>
          <t>Aluminum 6061-T6</t>
        </is>
      </c>
      <c r="C13" s="80" t="inlineStr">
        <is>
          <t>Metals</t>
        </is>
      </c>
      <c r="D13" s="85" t="inlineStr">
        <is>
          <t>Jebel Ali, UAE</t>
        </is>
      </c>
      <c r="E13" s="85" t="inlineStr">
        <is>
          <t>Aqaba, Jordan</t>
        </is>
      </c>
      <c r="F13" s="35" t="n">
        <v>9200</v>
      </c>
      <c r="G13" s="35" t="n">
        <v>82</v>
      </c>
      <c r="H13" s="17">
        <f>F13+G13</f>
        <v/>
      </c>
      <c r="I13" s="42" t="n">
        <v>0</v>
      </c>
      <c r="J13" s="25">
        <f>H13*(1+I13/100)</f>
        <v/>
      </c>
      <c r="K13" s="86" t="n">
        <v>9</v>
      </c>
      <c r="L13" s="87" t="inlineStr">
        <is>
          <t>FOB</t>
        </is>
      </c>
      <c r="M13" s="85" t="inlineStr">
        <is>
          <t>TT in advance</t>
        </is>
      </c>
      <c r="N13" s="30" t="inlineStr">
        <is>
          <t>✓ Yes</t>
        </is>
      </c>
    </row>
    <row r="14" ht="16" customHeight="1">
      <c r="A14" s="79" t="inlineStr">
        <is>
          <t>RT-009</t>
        </is>
      </c>
      <c r="B14" s="66" t="inlineStr">
        <is>
          <t>Copper ETP Rod 8mm</t>
        </is>
      </c>
      <c r="C14" s="80" t="inlineStr">
        <is>
          <t>Metals</t>
        </is>
      </c>
      <c r="D14" s="81" t="inlineStr">
        <is>
          <t>Antwerp, Belgium</t>
        </is>
      </c>
      <c r="E14" s="81" t="inlineStr">
        <is>
          <t>Jebel Ali, UAE</t>
        </is>
      </c>
      <c r="F14" s="15" t="n">
        <v>9800</v>
      </c>
      <c r="G14" s="15" t="n">
        <v>90</v>
      </c>
      <c r="H14" s="17">
        <f>F14+G14</f>
        <v/>
      </c>
      <c r="I14" s="24" t="n">
        <v>0</v>
      </c>
      <c r="J14" s="25">
        <f>H14*(1+I14/100)</f>
        <v/>
      </c>
      <c r="K14" s="82" t="n">
        <v>12</v>
      </c>
      <c r="L14" s="88" t="inlineStr">
        <is>
          <t>CIF</t>
        </is>
      </c>
      <c r="M14" s="81" t="inlineStr">
        <is>
          <t>LC at sight</t>
        </is>
      </c>
      <c r="N14" s="30" t="inlineStr">
        <is>
          <t>✓ Yes</t>
        </is>
      </c>
    </row>
    <row r="15" ht="16" customHeight="1">
      <c r="A15" s="84" t="inlineStr">
        <is>
          <t>RT-010</t>
        </is>
      </c>
      <c r="B15" s="73" t="inlineStr">
        <is>
          <t>Concrete Block 20cm</t>
        </is>
      </c>
      <c r="C15" s="89" t="inlineStr">
        <is>
          <t>Building</t>
        </is>
      </c>
      <c r="D15" s="85" t="inlineStr">
        <is>
          <t>Jebel Ali, UAE</t>
        </is>
      </c>
      <c r="E15" s="85" t="inlineStr">
        <is>
          <t>Dubai, UAE</t>
        </is>
      </c>
      <c r="F15" s="35" t="n">
        <v>4.8</v>
      </c>
      <c r="G15" s="35" t="n">
        <v>0.3</v>
      </c>
      <c r="H15" s="17">
        <f>F15+G15</f>
        <v/>
      </c>
      <c r="I15" s="42" t="n">
        <v>5</v>
      </c>
      <c r="J15" s="25">
        <f>H15*(1+I15/100)</f>
        <v/>
      </c>
      <c r="K15" s="86" t="n">
        <v>3</v>
      </c>
      <c r="L15" s="75" t="inlineStr">
        <is>
          <t>DAP</t>
        </is>
      </c>
      <c r="M15" s="85" t="inlineStr">
        <is>
          <t>TT in advance</t>
        </is>
      </c>
      <c r="N15" s="30" t="inlineStr">
        <is>
          <t>✓ Yes</t>
        </is>
      </c>
    </row>
    <row r="16" ht="16" customHeight="1">
      <c r="A16" s="79" t="inlineStr">
        <is>
          <t>RT-011</t>
        </is>
      </c>
      <c r="B16" s="66" t="inlineStr">
        <is>
          <t>Porcelain Tile 60×60</t>
        </is>
      </c>
      <c r="C16" s="89" t="inlineStr">
        <is>
          <t>Building</t>
        </is>
      </c>
      <c r="D16" s="81" t="inlineStr">
        <is>
          <t>Genoa, Italy</t>
        </is>
      </c>
      <c r="E16" s="81" t="inlineStr">
        <is>
          <t>Jebel Ali, UAE</t>
        </is>
      </c>
      <c r="F16" s="15" t="n">
        <v>62</v>
      </c>
      <c r="G16" s="15" t="n">
        <v>8</v>
      </c>
      <c r="H16" s="17">
        <f>F16+G16</f>
        <v/>
      </c>
      <c r="I16" s="24" t="n">
        <v>5</v>
      </c>
      <c r="J16" s="25">
        <f>H16*(1+I16/100)</f>
        <v/>
      </c>
      <c r="K16" s="82" t="n">
        <v>12</v>
      </c>
      <c r="L16" s="88" t="inlineStr">
        <is>
          <t>CIF</t>
        </is>
      </c>
      <c r="M16" s="81" t="inlineStr">
        <is>
          <t>LC 60 days</t>
        </is>
      </c>
      <c r="N16" s="30" t="inlineStr">
        <is>
          <t>✓ Yes</t>
        </is>
      </c>
    </row>
    <row r="17" ht="16" customHeight="1">
      <c r="A17" s="84" t="inlineStr">
        <is>
          <t>RT-012</t>
        </is>
      </c>
      <c r="B17" s="73" t="inlineStr">
        <is>
          <t>Structural Steel H-Beam</t>
        </is>
      </c>
      <c r="C17" s="89" t="inlineStr">
        <is>
          <t>Building</t>
        </is>
      </c>
      <c r="D17" s="85" t="inlineStr">
        <is>
          <t>Istanbul, Turkey</t>
        </is>
      </c>
      <c r="E17" s="85" t="inlineStr">
        <is>
          <t>Alexandria, Egypt</t>
        </is>
      </c>
      <c r="F17" s="35" t="n">
        <v>3200</v>
      </c>
      <c r="G17" s="35" t="n">
        <v>48</v>
      </c>
      <c r="H17" s="17">
        <f>F17+G17</f>
        <v/>
      </c>
      <c r="I17" s="42" t="n">
        <v>5</v>
      </c>
      <c r="J17" s="25">
        <f>H17*(1+I17/100)</f>
        <v/>
      </c>
      <c r="K17" s="86" t="n">
        <v>8</v>
      </c>
      <c r="L17" s="87" t="inlineStr">
        <is>
          <t>FOB</t>
        </is>
      </c>
      <c r="M17" s="85" t="inlineStr">
        <is>
          <t>LC at sight</t>
        </is>
      </c>
      <c r="N17" s="30" t="inlineStr">
        <is>
          <t>✓ Yes</t>
        </is>
      </c>
    </row>
    <row r="18" ht="16" customHeight="1">
      <c r="A18" s="79" t="inlineStr">
        <is>
          <t>RT-013</t>
        </is>
      </c>
      <c r="B18" s="66" t="inlineStr">
        <is>
          <t>Structural Steel H-Beam</t>
        </is>
      </c>
      <c r="C18" s="89" t="inlineStr">
        <is>
          <t>Building</t>
        </is>
      </c>
      <c r="D18" s="81" t="inlineStr">
        <is>
          <t>Istanbul, Turkey</t>
        </is>
      </c>
      <c r="E18" s="81" t="inlineStr">
        <is>
          <t>Aqaba, Jordan</t>
        </is>
      </c>
      <c r="F18" s="15" t="n">
        <v>3200</v>
      </c>
      <c r="G18" s="15" t="n">
        <v>55</v>
      </c>
      <c r="H18" s="17">
        <f>F18+G18</f>
        <v/>
      </c>
      <c r="I18" s="24" t="n">
        <v>5</v>
      </c>
      <c r="J18" s="25">
        <f>H18*(1+I18/100)</f>
        <v/>
      </c>
      <c r="K18" s="82" t="n">
        <v>9</v>
      </c>
      <c r="L18" s="83" t="inlineStr">
        <is>
          <t>FOB</t>
        </is>
      </c>
      <c r="M18" s="81" t="inlineStr">
        <is>
          <t>LC at sight</t>
        </is>
      </c>
      <c r="N18" s="30" t="inlineStr">
        <is>
          <t>✓ Yes</t>
        </is>
      </c>
    </row>
    <row r="19" ht="16" customHeight="1">
      <c r="A19" s="84" t="inlineStr">
        <is>
          <t>RT-014</t>
        </is>
      </c>
      <c r="B19" s="73" t="inlineStr">
        <is>
          <t>Industrial Diesel B2</t>
        </is>
      </c>
      <c r="C19" s="90" t="inlineStr">
        <is>
          <t>Energy</t>
        </is>
      </c>
      <c r="D19" s="85" t="inlineStr">
        <is>
          <t>Jebel Ali, UAE</t>
        </is>
      </c>
      <c r="E19" s="85" t="inlineStr">
        <is>
          <t>Aqaba, Jordan</t>
        </is>
      </c>
      <c r="F19" s="35" t="n">
        <v>4.92</v>
      </c>
      <c r="G19" s="35" t="n">
        <v>0.15</v>
      </c>
      <c r="H19" s="17">
        <f>F19+G19</f>
        <v/>
      </c>
      <c r="I19" s="42" t="n">
        <v>0</v>
      </c>
      <c r="J19" s="25">
        <f>H19*(1+I19/100)</f>
        <v/>
      </c>
      <c r="K19" s="86" t="n">
        <v>2</v>
      </c>
      <c r="L19" s="75" t="inlineStr">
        <is>
          <t>DAP</t>
        </is>
      </c>
      <c r="M19" s="85" t="inlineStr">
        <is>
          <t>TT in advance</t>
        </is>
      </c>
      <c r="N19" s="30" t="inlineStr">
        <is>
          <t>✓ Yes</t>
        </is>
      </c>
    </row>
    <row r="20" ht="16" customHeight="1">
      <c r="A20" s="79" t="inlineStr">
        <is>
          <t>RT-015</t>
        </is>
      </c>
      <c r="B20" s="66" t="inlineStr">
        <is>
          <t>Industrial Diesel B2</t>
        </is>
      </c>
      <c r="C20" s="90" t="inlineStr">
        <is>
          <t>Energy</t>
        </is>
      </c>
      <c r="D20" s="81" t="inlineStr">
        <is>
          <t>Jebel Ali, UAE</t>
        </is>
      </c>
      <c r="E20" s="81" t="inlineStr">
        <is>
          <t>Salalah, Oman</t>
        </is>
      </c>
      <c r="F20" s="15" t="n">
        <v>4.92</v>
      </c>
      <c r="G20" s="15" t="n">
        <v>0.18</v>
      </c>
      <c r="H20" s="17">
        <f>F20+G20</f>
        <v/>
      </c>
      <c r="I20" s="24" t="n">
        <v>0</v>
      </c>
      <c r="J20" s="25">
        <f>H20*(1+I20/100)</f>
        <v/>
      </c>
      <c r="K20" s="82" t="n">
        <v>3</v>
      </c>
      <c r="L20" s="68" t="inlineStr">
        <is>
          <t>DAP</t>
        </is>
      </c>
      <c r="M20" s="81" t="inlineStr">
        <is>
          <t>TT in advance</t>
        </is>
      </c>
      <c r="N20" s="30" t="inlineStr">
        <is>
          <t>✓ Yes</t>
        </is>
      </c>
    </row>
    <row r="21" ht="16" customHeight="1">
      <c r="A21" s="84" t="inlineStr">
        <is>
          <t>RT-016</t>
        </is>
      </c>
      <c r="B21" s="73" t="inlineStr">
        <is>
          <t>Fuel Oil 380 CST</t>
        </is>
      </c>
      <c r="C21" s="90" t="inlineStr">
        <is>
          <t>Energy</t>
        </is>
      </c>
      <c r="D21" s="85" t="inlineStr">
        <is>
          <t>Fujairah, UAE</t>
        </is>
      </c>
      <c r="E21" s="85" t="inlineStr">
        <is>
          <t>Djibouti</t>
        </is>
      </c>
      <c r="F21" s="35" t="n">
        <v>510</v>
      </c>
      <c r="G21" s="35" t="n">
        <v>22</v>
      </c>
      <c r="H21" s="17">
        <f>F21+G21</f>
        <v/>
      </c>
      <c r="I21" s="42" t="n">
        <v>0</v>
      </c>
      <c r="J21" s="25">
        <f>H21*(1+I21/100)</f>
        <v/>
      </c>
      <c r="K21" s="86" t="n">
        <v>5</v>
      </c>
      <c r="L21" s="87" t="inlineStr">
        <is>
          <t>FOB</t>
        </is>
      </c>
      <c r="M21" s="85" t="inlineStr">
        <is>
          <t>CAD</t>
        </is>
      </c>
      <c r="N21" s="30" t="inlineStr">
        <is>
          <t>✓ Yes</t>
        </is>
      </c>
    </row>
    <row r="22" ht="16" customHeight="1">
      <c r="A22" s="79" t="inlineStr">
        <is>
          <t>RT-017</t>
        </is>
      </c>
      <c r="B22" s="66" t="inlineStr">
        <is>
          <t>Hard Wheat 14% Protein</t>
        </is>
      </c>
      <c r="C22" s="91" t="inlineStr">
        <is>
          <t>Agriculture</t>
        </is>
      </c>
      <c r="D22" s="81" t="inlineStr">
        <is>
          <t>Odessa, Ukraine</t>
        </is>
      </c>
      <c r="E22" s="81" t="inlineStr">
        <is>
          <t>Alexandria, Egypt</t>
        </is>
      </c>
      <c r="F22" s="15" t="n">
        <v>1120</v>
      </c>
      <c r="G22" s="15" t="n">
        <v>38</v>
      </c>
      <c r="H22" s="17">
        <f>F22+G22</f>
        <v/>
      </c>
      <c r="I22" s="24" t="n">
        <v>0</v>
      </c>
      <c r="J22" s="25">
        <f>H22*(1+I22/100)</f>
        <v/>
      </c>
      <c r="K22" s="82" t="n">
        <v>14</v>
      </c>
      <c r="L22" s="88" t="inlineStr">
        <is>
          <t>CIF</t>
        </is>
      </c>
      <c r="M22" s="81" t="inlineStr">
        <is>
          <t>LC at sight</t>
        </is>
      </c>
      <c r="N22" s="30" t="inlineStr">
        <is>
          <t>✓ Yes</t>
        </is>
      </c>
    </row>
    <row r="23" ht="16" customHeight="1">
      <c r="A23" s="84" t="inlineStr">
        <is>
          <t>RT-018</t>
        </is>
      </c>
      <c r="B23" s="73" t="inlineStr">
        <is>
          <t>Yellow Corn No.2</t>
        </is>
      </c>
      <c r="C23" s="91" t="inlineStr">
        <is>
          <t>Agriculture</t>
        </is>
      </c>
      <c r="D23" s="85" t="inlineStr">
        <is>
          <t>Santos, Brazil</t>
        </is>
      </c>
      <c r="E23" s="85" t="inlineStr">
        <is>
          <t>Port Said, Egypt</t>
        </is>
      </c>
      <c r="F23" s="35" t="n">
        <v>980</v>
      </c>
      <c r="G23" s="35" t="n">
        <v>35</v>
      </c>
      <c r="H23" s="17">
        <f>F23+G23</f>
        <v/>
      </c>
      <c r="I23" s="42" t="n">
        <v>0</v>
      </c>
      <c r="J23" s="25">
        <f>H23*(1+I23/100)</f>
        <v/>
      </c>
      <c r="K23" s="86" t="n">
        <v>21</v>
      </c>
      <c r="L23" s="92" t="inlineStr">
        <is>
          <t>CIF</t>
        </is>
      </c>
      <c r="M23" s="85" t="inlineStr">
        <is>
          <t>LC at sight</t>
        </is>
      </c>
      <c r="N23" s="30" t="inlineStr">
        <is>
          <t>✓ Yes</t>
        </is>
      </c>
    </row>
    <row r="24" ht="16" customHeight="1">
      <c r="A24" s="79" t="inlineStr">
        <is>
          <t>RT-019</t>
        </is>
      </c>
      <c r="B24" s="66" t="inlineStr">
        <is>
          <t>Raw Cane Sugar VHP</t>
        </is>
      </c>
      <c r="C24" s="91" t="inlineStr">
        <is>
          <t>Agriculture</t>
        </is>
      </c>
      <c r="D24" s="81" t="inlineStr">
        <is>
          <t>Santos, Brazil</t>
        </is>
      </c>
      <c r="E24" s="81" t="inlineStr">
        <is>
          <t>Jeddah, Saudi Arabia</t>
        </is>
      </c>
      <c r="F24" s="15" t="n">
        <v>560</v>
      </c>
      <c r="G24" s="15" t="n">
        <v>35</v>
      </c>
      <c r="H24" s="17">
        <f>F24+G24</f>
        <v/>
      </c>
      <c r="I24" s="24" t="n">
        <v>5</v>
      </c>
      <c r="J24" s="25">
        <f>H24*(1+I24/100)</f>
        <v/>
      </c>
      <c r="K24" s="82" t="n">
        <v>21</v>
      </c>
      <c r="L24" s="88" t="inlineStr">
        <is>
          <t>CIF</t>
        </is>
      </c>
      <c r="M24" s="81" t="inlineStr">
        <is>
          <t>LC 60 days</t>
        </is>
      </c>
      <c r="N24" s="30" t="inlineStr">
        <is>
          <t>✓ Yes</t>
        </is>
      </c>
    </row>
    <row r="25" ht="16" customHeight="1">
      <c r="A25" s="84" t="inlineStr">
        <is>
          <t>RT-020</t>
        </is>
      </c>
      <c r="B25" s="73" t="inlineStr">
        <is>
          <t>Sulfuric Acid 98%</t>
        </is>
      </c>
      <c r="C25" s="93" t="inlineStr">
        <is>
          <t>Chemicals</t>
        </is>
      </c>
      <c r="D25" s="85" t="inlineStr">
        <is>
          <t>Jebel Ali, UAE</t>
        </is>
      </c>
      <c r="E25" s="85" t="inlineStr">
        <is>
          <t>Suez, Egypt</t>
        </is>
      </c>
      <c r="F25" s="35" t="n">
        <v>580</v>
      </c>
      <c r="G25" s="35" t="n">
        <v>30</v>
      </c>
      <c r="H25" s="17">
        <f>F25+G25</f>
        <v/>
      </c>
      <c r="I25" s="42" t="n">
        <v>7</v>
      </c>
      <c r="J25" s="25">
        <f>H25*(1+I25/100)</f>
        <v/>
      </c>
      <c r="K25" s="86" t="n">
        <v>7</v>
      </c>
      <c r="L25" s="75" t="inlineStr">
        <is>
          <t>DAP</t>
        </is>
      </c>
      <c r="M25" s="85" t="inlineStr">
        <is>
          <t>LC at sight</t>
        </is>
      </c>
      <c r="N25" s="30" t="inlineStr">
        <is>
          <t>✓ Yes</t>
        </is>
      </c>
    </row>
    <row r="26" ht="16" customHeight="1">
      <c r="A26" s="79" t="inlineStr">
        <is>
          <t>RT-021</t>
        </is>
      </c>
      <c r="B26" s="66" t="inlineStr">
        <is>
          <t>Caustic Soda 50%</t>
        </is>
      </c>
      <c r="C26" s="93" t="inlineStr">
        <is>
          <t>Chemicals</t>
        </is>
      </c>
      <c r="D26" s="81" t="inlineStr">
        <is>
          <t>Jebel Ali, UAE</t>
        </is>
      </c>
      <c r="E26" s="81" t="inlineStr">
        <is>
          <t>Aqaba, Jordan</t>
        </is>
      </c>
      <c r="F26" s="15" t="n">
        <v>420</v>
      </c>
      <c r="G26" s="15" t="n">
        <v>28</v>
      </c>
      <c r="H26" s="17">
        <f>F26+G26</f>
        <v/>
      </c>
      <c r="I26" s="24" t="n">
        <v>5</v>
      </c>
      <c r="J26" s="25">
        <f>H26*(1+I26/100)</f>
        <v/>
      </c>
      <c r="K26" s="82" t="n">
        <v>6</v>
      </c>
      <c r="L26" s="68" t="inlineStr">
        <is>
          <t>DAP</t>
        </is>
      </c>
      <c r="M26" s="81" t="inlineStr">
        <is>
          <t>LC at sight</t>
        </is>
      </c>
      <c r="N26" s="30" t="inlineStr">
        <is>
          <t>✓ Yes</t>
        </is>
      </c>
    </row>
    <row r="27" ht="16" customHeight="1">
      <c r="A27" s="84" t="inlineStr">
        <is>
          <t>RT-022</t>
        </is>
      </c>
      <c r="B27" s="73" t="inlineStr">
        <is>
          <t>Urea 46% Prilled</t>
        </is>
      </c>
      <c r="C27" s="93" t="inlineStr">
        <is>
          <t>Chemicals</t>
        </is>
      </c>
      <c r="D27" s="85" t="inlineStr">
        <is>
          <t>Jebel Ali, UAE</t>
        </is>
      </c>
      <c r="E27" s="85" t="inlineStr">
        <is>
          <t>Alexandria, Egypt</t>
        </is>
      </c>
      <c r="F27" s="35" t="n">
        <v>450</v>
      </c>
      <c r="G27" s="35" t="n">
        <v>30</v>
      </c>
      <c r="H27" s="17">
        <f>F27+G27</f>
        <v/>
      </c>
      <c r="I27" s="42" t="n">
        <v>0</v>
      </c>
      <c r="J27" s="25">
        <f>H27*(1+I27/100)</f>
        <v/>
      </c>
      <c r="K27" s="86" t="n">
        <v>7</v>
      </c>
      <c r="L27" s="87" t="inlineStr">
        <is>
          <t>FOB</t>
        </is>
      </c>
      <c r="M27" s="85" t="inlineStr">
        <is>
          <t>LC at sight</t>
        </is>
      </c>
      <c r="N27" s="30" t="inlineStr">
        <is>
          <t>✓ Yes</t>
        </is>
      </c>
    </row>
    <row r="28" ht="16" customHeight="1">
      <c r="A28" s="79" t="inlineStr">
        <is>
          <t>RT-023</t>
        </is>
      </c>
      <c r="B28" s="66" t="inlineStr">
        <is>
          <t>PP Granules Homopolymer</t>
        </is>
      </c>
      <c r="C28" s="93" t="inlineStr">
        <is>
          <t>Chemicals</t>
        </is>
      </c>
      <c r="D28" s="81" t="inlineStr">
        <is>
          <t>Jebel Ali, UAE</t>
        </is>
      </c>
      <c r="E28" s="81" t="inlineStr">
        <is>
          <t>Haifa, Israel</t>
        </is>
      </c>
      <c r="F28" s="15" t="n">
        <v>1280</v>
      </c>
      <c r="G28" s="15" t="n">
        <v>55</v>
      </c>
      <c r="H28" s="17">
        <f>F28+G28</f>
        <v/>
      </c>
      <c r="I28" s="24" t="n">
        <v>0</v>
      </c>
      <c r="J28" s="25">
        <f>H28*(1+I28/100)</f>
        <v/>
      </c>
      <c r="K28" s="82" t="n">
        <v>8</v>
      </c>
      <c r="L28" s="88" t="inlineStr">
        <is>
          <t>CIF</t>
        </is>
      </c>
      <c r="M28" s="81" t="inlineStr">
        <is>
          <t>TT in advance</t>
        </is>
      </c>
      <c r="N28" s="30" t="inlineStr">
        <is>
          <t>✓ Yes</t>
        </is>
      </c>
    </row>
    <row r="29" ht="16" customHeight="1">
      <c r="A29" s="84" t="inlineStr">
        <is>
          <t>RT-024</t>
        </is>
      </c>
      <c r="B29" s="73" t="inlineStr">
        <is>
          <t>Clinker FOB Yanbu</t>
        </is>
      </c>
      <c r="C29" s="94" t="inlineStr">
        <is>
          <t>Cement &amp; Clinker</t>
        </is>
      </c>
      <c r="D29" s="85" t="inlineStr">
        <is>
          <t>Yanbu, Saudi Arabia</t>
        </is>
      </c>
      <c r="E29" s="85" t="inlineStr">
        <is>
          <t>Alexandria, Egypt</t>
        </is>
      </c>
      <c r="F29" s="35" t="n">
        <v>62</v>
      </c>
      <c r="G29" s="35" t="n">
        <v>8</v>
      </c>
      <c r="H29" s="17">
        <f>F29+G29</f>
        <v/>
      </c>
      <c r="I29" s="42" t="n">
        <v>0</v>
      </c>
      <c r="J29" s="25">
        <f>H29*(1+I29/100)</f>
        <v/>
      </c>
      <c r="K29" s="86" t="n">
        <v>6</v>
      </c>
      <c r="L29" s="87" t="inlineStr">
        <is>
          <t>FOB</t>
        </is>
      </c>
      <c r="M29" s="85" t="inlineStr">
        <is>
          <t>LC at sight</t>
        </is>
      </c>
      <c r="N29" s="30" t="inlineStr">
        <is>
          <t>✓ Yes</t>
        </is>
      </c>
    </row>
    <row r="30" ht="16" customHeight="1">
      <c r="A30" s="79" t="inlineStr">
        <is>
          <t>RT-025</t>
        </is>
      </c>
      <c r="B30" s="66" t="inlineStr">
        <is>
          <t>Clinker FOB Alexandria</t>
        </is>
      </c>
      <c r="C30" s="94" t="inlineStr">
        <is>
          <t>Cement &amp; Clinker</t>
        </is>
      </c>
      <c r="D30" s="81" t="inlineStr">
        <is>
          <t>Alexandria, Egypt</t>
        </is>
      </c>
      <c r="E30" s="81" t="inlineStr">
        <is>
          <t>Tripoli, Libya</t>
        </is>
      </c>
      <c r="F30" s="15" t="n">
        <v>56</v>
      </c>
      <c r="G30" s="15" t="n">
        <v>6</v>
      </c>
      <c r="H30" s="17">
        <f>F30+G30</f>
        <v/>
      </c>
      <c r="I30" s="24" t="n">
        <v>0</v>
      </c>
      <c r="J30" s="25">
        <f>H30*(1+I30/100)</f>
        <v/>
      </c>
      <c r="K30" s="82" t="n">
        <v>3</v>
      </c>
      <c r="L30" s="83" t="inlineStr">
        <is>
          <t>FOB</t>
        </is>
      </c>
      <c r="M30" s="81" t="inlineStr">
        <is>
          <t>LC at sight</t>
        </is>
      </c>
      <c r="N30" s="30" t="inlineStr">
        <is>
          <t>✓ Yes</t>
        </is>
      </c>
    </row>
    <row r="31" ht="16" customHeight="1">
      <c r="A31" s="84" t="inlineStr">
        <is>
          <t>RT-026</t>
        </is>
      </c>
      <c r="B31" s="73" t="inlineStr">
        <is>
          <t>OPC Cement 42.5 Saudi</t>
        </is>
      </c>
      <c r="C31" s="94" t="inlineStr">
        <is>
          <t>Cement &amp; Clinker</t>
        </is>
      </c>
      <c r="D31" s="85" t="inlineStr">
        <is>
          <t>Yanbu, Saudi Arabia</t>
        </is>
      </c>
      <c r="E31" s="85" t="inlineStr">
        <is>
          <t>Aqaba, Jordan</t>
        </is>
      </c>
      <c r="F31" s="35" t="n">
        <v>77</v>
      </c>
      <c r="G31" s="35" t="n">
        <v>9</v>
      </c>
      <c r="H31" s="17">
        <f>F31+G31</f>
        <v/>
      </c>
      <c r="I31" s="42" t="n">
        <v>0</v>
      </c>
      <c r="J31" s="25">
        <f>H31*(1+I31/100)</f>
        <v/>
      </c>
      <c r="K31" s="86" t="n">
        <v>5</v>
      </c>
      <c r="L31" s="87" t="inlineStr">
        <is>
          <t>FOB</t>
        </is>
      </c>
      <c r="M31" s="85" t="inlineStr">
        <is>
          <t>LC at sight</t>
        </is>
      </c>
      <c r="N31" s="30" t="inlineStr">
        <is>
          <t>✓ Yes</t>
        </is>
      </c>
    </row>
    <row r="32" ht="16" customHeight="1">
      <c r="A32" s="79" t="inlineStr">
        <is>
          <t>RT-027</t>
        </is>
      </c>
      <c r="B32" s="66" t="inlineStr">
        <is>
          <t>Steel Rebar G60 Turkey</t>
        </is>
      </c>
      <c r="C32" s="89" t="inlineStr">
        <is>
          <t>Building Materials</t>
        </is>
      </c>
      <c r="D32" s="81" t="inlineStr">
        <is>
          <t>Istanbul, Turkey</t>
        </is>
      </c>
      <c r="E32" s="81" t="inlineStr">
        <is>
          <t>Benghazi, Libya</t>
        </is>
      </c>
      <c r="F32" s="15" t="n">
        <v>558</v>
      </c>
      <c r="G32" s="15" t="n">
        <v>14</v>
      </c>
      <c r="H32" s="17">
        <f>F32+G32</f>
        <v/>
      </c>
      <c r="I32" s="24" t="n">
        <v>5</v>
      </c>
      <c r="J32" s="25">
        <f>H32*(1+I32/100)</f>
        <v/>
      </c>
      <c r="K32" s="82" t="n">
        <v>5</v>
      </c>
      <c r="L32" s="83" t="inlineStr">
        <is>
          <t>FOB</t>
        </is>
      </c>
      <c r="M32" s="81" t="inlineStr">
        <is>
          <t>LC at sight</t>
        </is>
      </c>
      <c r="N32" s="30" t="inlineStr">
        <is>
          <t>✓ Yes</t>
        </is>
      </c>
    </row>
    <row r="33" ht="16" customHeight="1">
      <c r="A33" s="84" t="inlineStr">
        <is>
          <t>RT-028</t>
        </is>
      </c>
      <c r="B33" s="73" t="inlineStr">
        <is>
          <t>Gypsum Board Egypt</t>
        </is>
      </c>
      <c r="C33" s="89" t="inlineStr">
        <is>
          <t>Building Materials</t>
        </is>
      </c>
      <c r="D33" s="85" t="inlineStr">
        <is>
          <t>Alexandria, Egypt</t>
        </is>
      </c>
      <c r="E33" s="85" t="inlineStr">
        <is>
          <t>Tripoli, Libya</t>
        </is>
      </c>
      <c r="F33" s="35" t="n">
        <v>3.6</v>
      </c>
      <c r="G33" s="35" t="n">
        <v>0.4</v>
      </c>
      <c r="H33" s="17">
        <f>F33+G33</f>
        <v/>
      </c>
      <c r="I33" s="42" t="n">
        <v>0</v>
      </c>
      <c r="J33" s="25">
        <f>H33*(1+I33/100)</f>
        <v/>
      </c>
      <c r="K33" s="86" t="n">
        <v>3</v>
      </c>
      <c r="L33" s="87" t="inlineStr">
        <is>
          <t>FOB</t>
        </is>
      </c>
      <c r="M33" s="85" t="inlineStr">
        <is>
          <t>LC at sight</t>
        </is>
      </c>
      <c r="N33" s="30" t="inlineStr">
        <is>
          <t>✓ Yes</t>
        </is>
      </c>
    </row>
    <row r="34" ht="16" customHeight="1">
      <c r="A34" s="79" t="inlineStr">
        <is>
          <t>RT-029</t>
        </is>
      </c>
      <c r="B34" s="66" t="inlineStr">
        <is>
          <t>Phosphate Rock BPL 68%</t>
        </is>
      </c>
      <c r="C34" s="95" t="inlineStr">
        <is>
          <t>Critical Minerals</t>
        </is>
      </c>
      <c r="D34" s="81" t="inlineStr">
        <is>
          <t>Yanbu, Saudi Arabia</t>
        </is>
      </c>
      <c r="E34" s="81" t="inlineStr">
        <is>
          <t>Mumbai, India</t>
        </is>
      </c>
      <c r="F34" s="15" t="n">
        <v>95</v>
      </c>
      <c r="G34" s="15" t="n">
        <v>8</v>
      </c>
      <c r="H34" s="17">
        <f>F34+G34</f>
        <v/>
      </c>
      <c r="I34" s="24" t="n">
        <v>0</v>
      </c>
      <c r="J34" s="25">
        <f>H34*(1+I34/100)</f>
        <v/>
      </c>
      <c r="K34" s="82" t="n">
        <v>10</v>
      </c>
      <c r="L34" s="83" t="inlineStr">
        <is>
          <t>FOB</t>
        </is>
      </c>
      <c r="M34" s="81" t="inlineStr">
        <is>
          <t>LC at sight</t>
        </is>
      </c>
      <c r="N34" s="30" t="inlineStr">
        <is>
          <t>✓ Yes</t>
        </is>
      </c>
    </row>
    <row r="35" ht="16" customHeight="1">
      <c r="A35" s="84" t="inlineStr">
        <is>
          <t>RT-030</t>
        </is>
      </c>
      <c r="B35" s="73" t="inlineStr">
        <is>
          <t>Iron Ore Fe 58% Algeria</t>
        </is>
      </c>
      <c r="C35" s="95" t="inlineStr">
        <is>
          <t>Critical Minerals</t>
        </is>
      </c>
      <c r="D35" s="85" t="inlineStr">
        <is>
          <t>Annaba, Algeria</t>
        </is>
      </c>
      <c r="E35" s="85" t="inlineStr">
        <is>
          <t>Dunkirk, France</t>
        </is>
      </c>
      <c r="F35" s="35" t="n">
        <v>98</v>
      </c>
      <c r="G35" s="35" t="n">
        <v>10</v>
      </c>
      <c r="H35" s="17">
        <f>F35+G35</f>
        <v/>
      </c>
      <c r="I35" s="42" t="n">
        <v>0</v>
      </c>
      <c r="J35" s="25">
        <f>H35*(1+I35/100)</f>
        <v/>
      </c>
      <c r="K35" s="86" t="n">
        <v>10</v>
      </c>
      <c r="L35" s="87" t="inlineStr">
        <is>
          <t>FOB</t>
        </is>
      </c>
      <c r="M35" s="85" t="inlineStr">
        <is>
          <t>LC at sight</t>
        </is>
      </c>
      <c r="N35" s="30" t="inlineStr">
        <is>
          <t>✓ Yes</t>
        </is>
      </c>
    </row>
    <row r="36" ht="16" customHeight="1">
      <c r="A36" s="79" t="inlineStr">
        <is>
          <t>RT-031</t>
        </is>
      </c>
      <c r="B36" s="66" t="inlineStr">
        <is>
          <t>PP Homopolymer Raffia</t>
        </is>
      </c>
      <c r="C36" s="96" t="inlineStr">
        <is>
          <t>Petrochemicals</t>
        </is>
      </c>
      <c r="D36" s="81" t="inlineStr">
        <is>
          <t>Al-Jubail, Saudi Arabia</t>
        </is>
      </c>
      <c r="E36" s="81" t="inlineStr">
        <is>
          <t>Istanbul, Turkey</t>
        </is>
      </c>
      <c r="F36" s="15" t="n">
        <v>920</v>
      </c>
      <c r="G36" s="15" t="n">
        <v>28</v>
      </c>
      <c r="H36" s="17">
        <f>F36+G36</f>
        <v/>
      </c>
      <c r="I36" s="24" t="n">
        <v>0</v>
      </c>
      <c r="J36" s="25">
        <f>H36*(1+I36/100)</f>
        <v/>
      </c>
      <c r="K36" s="82" t="n">
        <v>7</v>
      </c>
      <c r="L36" s="83" t="inlineStr">
        <is>
          <t>FOB</t>
        </is>
      </c>
      <c r="M36" s="81" t="inlineStr">
        <is>
          <t>LC at sight</t>
        </is>
      </c>
      <c r="N36" s="30" t="inlineStr">
        <is>
          <t>✓ Yes</t>
        </is>
      </c>
    </row>
    <row r="37" ht="16" customHeight="1">
      <c r="A37" s="84" t="inlineStr">
        <is>
          <t>RT-032</t>
        </is>
      </c>
      <c r="B37" s="73" t="inlineStr">
        <is>
          <t>Urea 46% Fertiglobe</t>
        </is>
      </c>
      <c r="C37" s="96" t="inlineStr">
        <is>
          <t>Petrochemicals</t>
        </is>
      </c>
      <c r="D37" s="85" t="inlineStr">
        <is>
          <t>Ruwais, UAE</t>
        </is>
      </c>
      <c r="E37" s="85" t="inlineStr">
        <is>
          <t>Chennai, India</t>
        </is>
      </c>
      <c r="F37" s="35" t="n">
        <v>408</v>
      </c>
      <c r="G37" s="35" t="n">
        <v>18</v>
      </c>
      <c r="H37" s="17">
        <f>F37+G37</f>
        <v/>
      </c>
      <c r="I37" s="42" t="n">
        <v>0</v>
      </c>
      <c r="J37" s="25">
        <f>H37*(1+I37/100)</f>
        <v/>
      </c>
      <c r="K37" s="86" t="n">
        <v>9</v>
      </c>
      <c r="L37" s="87" t="inlineStr">
        <is>
          <t>FOB</t>
        </is>
      </c>
      <c r="M37" s="85" t="inlineStr">
        <is>
          <t>LC at sight</t>
        </is>
      </c>
      <c r="N37" s="30" t="inlineStr">
        <is>
          <t>✓ Yes</t>
        </is>
      </c>
    </row>
    <row r="38" ht="16" customHeight="1">
      <c r="A38" s="79" t="inlineStr">
        <is>
          <t>RT-033</t>
        </is>
      </c>
      <c r="B38" s="66" t="inlineStr">
        <is>
          <t>Bitumen 60/70 Saudi</t>
        </is>
      </c>
      <c r="C38" s="96" t="inlineStr">
        <is>
          <t>Petrochemicals</t>
        </is>
      </c>
      <c r="D38" s="81" t="inlineStr">
        <is>
          <t>Jeddah, Saudi Arabia</t>
        </is>
      </c>
      <c r="E38" s="81" t="inlineStr">
        <is>
          <t>Tripoli, Libya</t>
        </is>
      </c>
      <c r="F38" s="15" t="n">
        <v>355</v>
      </c>
      <c r="G38" s="15" t="n">
        <v>20</v>
      </c>
      <c r="H38" s="17">
        <f>F38+G38</f>
        <v/>
      </c>
      <c r="I38" s="24" t="n">
        <v>0</v>
      </c>
      <c r="J38" s="25">
        <f>H38*(1+I38/100)</f>
        <v/>
      </c>
      <c r="K38" s="82" t="n">
        <v>6</v>
      </c>
      <c r="L38" s="83" t="inlineStr">
        <is>
          <t>FOB</t>
        </is>
      </c>
      <c r="M38" s="81" t="inlineStr">
        <is>
          <t>LC at sight</t>
        </is>
      </c>
      <c r="N38" s="30" t="inlineStr">
        <is>
          <t>✓ Yes</t>
        </is>
      </c>
    </row>
    <row r="39" ht="16" customHeight="1">
      <c r="A39" s="84" t="inlineStr">
        <is>
          <t>RT-034</t>
        </is>
      </c>
      <c r="B39" s="73" t="inlineStr">
        <is>
          <t>Methanol IMPCA Saudi</t>
        </is>
      </c>
      <c r="C39" s="96" t="inlineStr">
        <is>
          <t>Petrochemicals</t>
        </is>
      </c>
      <c r="D39" s="85" t="inlineStr">
        <is>
          <t>Al-Jubail, Saudi Arabia</t>
        </is>
      </c>
      <c r="E39" s="85" t="inlineStr">
        <is>
          <t>Rotterdam, Netherlands</t>
        </is>
      </c>
      <c r="F39" s="35" t="n">
        <v>310</v>
      </c>
      <c r="G39" s="35" t="n">
        <v>15</v>
      </c>
      <c r="H39" s="17">
        <f>F39+G39</f>
        <v/>
      </c>
      <c r="I39" s="42" t="n">
        <v>0</v>
      </c>
      <c r="J39" s="25">
        <f>H39*(1+I39/100)</f>
        <v/>
      </c>
      <c r="K39" s="86" t="n">
        <v>14</v>
      </c>
      <c r="L39" s="87" t="inlineStr">
        <is>
          <t>FOB</t>
        </is>
      </c>
      <c r="M39" s="85" t="inlineStr">
        <is>
          <t>LC at sight</t>
        </is>
      </c>
      <c r="N39" s="30" t="inlineStr">
        <is>
          <t>✓ Yes</t>
        </is>
      </c>
    </row>
    <row r="40" ht="18" customHeight="1">
      <c r="A40" s="97" t="inlineStr">
        <is>
          <t>34 active routes  ·  Use Route Calculator for CIF quotes</t>
        </is>
      </c>
      <c r="F40" s="98" t="n"/>
      <c r="G40" s="98" t="n"/>
      <c r="H40" s="98" t="n"/>
      <c r="I40" s="98" t="n"/>
      <c r="J40" s="98" t="n"/>
      <c r="K40" s="98" t="n"/>
      <c r="L40" s="98" t="n"/>
      <c r="M40" s="98" t="n"/>
      <c r="N40" s="98" t="n"/>
    </row>
  </sheetData>
  <mergeCells count="6">
    <mergeCell ref="K4:N4"/>
    <mergeCell ref="A4:E4"/>
    <mergeCell ref="A2:N2"/>
    <mergeCell ref="A40:E40"/>
    <mergeCell ref="F4:J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4A80"/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8" customWidth="1" min="4" max="4"/>
    <col width="14" customWidth="1" min="6" max="6"/>
  </cols>
  <sheetData>
    <row r="1" ht="36" customHeight="1">
      <c r="A1" s="99" t="inlineStr">
        <is>
          <t>🤖  SLOI AI — Agent Sources &amp; Knowledge</t>
        </is>
      </c>
      <c r="B1" s="100" t="n"/>
      <c r="C1" s="100" t="n"/>
      <c r="D1" s="100" t="n"/>
      <c r="E1" s="100" t="n"/>
      <c r="F1" s="100" t="n"/>
      <c r="G1" s="100" t="n"/>
    </row>
    <row r="2" ht="13.5" customHeight="1">
      <c r="A2" s="101" t="inlineStr">
        <is>
          <t>Reference sheet for AI agents integrating with SLOI AI  ·  API + Auth + TON-native + A2A + Autonomous + Events</t>
        </is>
      </c>
    </row>
    <row r="3"/>
    <row r="4" ht="27.75" customHeight="1">
      <c r="A4" s="102" t="inlineStr">
        <is>
          <t xml:space="preserve">  // QUICK START — 5 steps from zero to LOI</t>
        </is>
      </c>
      <c r="B4" s="100" t="n"/>
      <c r="C4" s="100" t="n"/>
      <c r="D4" s="100" t="n"/>
      <c r="E4" s="100" t="n"/>
      <c r="F4" s="100" t="n"/>
      <c r="G4" s="100" t="n"/>
    </row>
    <row r="5" ht="13.5" customHeight="1">
      <c r="A5" s="103" t="inlineStr">
        <is>
          <t xml:space="preserve">  Run in order. Each step is a prerequisite for the next.</t>
        </is>
      </c>
    </row>
    <row r="6" ht="19.5" customHeight="1">
      <c r="A6" s="104" t="inlineStr">
        <is>
          <t>STEP</t>
        </is>
      </c>
      <c r="B6" s="104" t="inlineStr">
        <is>
          <t>ACTION</t>
        </is>
      </c>
      <c r="C6" s="104" t="inlineStr">
        <is>
          <t>ENDPOINT / COMMAND</t>
        </is>
      </c>
      <c r="D6" s="104" t="inlineStr">
        <is>
          <t>INPUT</t>
        </is>
      </c>
      <c r="E6" s="104" t="inlineStr">
        <is>
          <t>OUTPUT</t>
        </is>
      </c>
      <c r="F6" s="104" t="inlineStr">
        <is>
          <t>CREDITS</t>
        </is>
      </c>
      <c r="G6" s="104" t="inlineStr">
        <is>
          <t>TIME</t>
        </is>
      </c>
    </row>
    <row r="7" ht="19.5" customHeight="1">
      <c r="A7" s="105" t="inlineStr">
        <is>
          <t>1</t>
        </is>
      </c>
      <c r="B7" s="106" t="inlineStr">
        <is>
          <t>Discover</t>
        </is>
      </c>
      <c r="C7" s="107" t="inlineStr">
        <is>
          <t>GET sloiai.com/.well-known/agent.json</t>
        </is>
      </c>
      <c r="D7" s="106" t="inlineStr">
        <is>
          <t>—</t>
        </is>
      </c>
      <c r="E7" s="106" t="inlineStr">
        <is>
          <t>capabilities, skills, endpoints, payment</t>
        </is>
      </c>
      <c r="F7" s="106" t="inlineStr">
        <is>
          <t>0 cr</t>
        </is>
      </c>
      <c r="G7" s="106" t="inlineStr">
        <is>
          <t>instant</t>
        </is>
      </c>
    </row>
    <row r="8" ht="19.5" customHeight="1">
      <c r="A8" s="108" t="inlineStr">
        <is>
          <t>2</t>
        </is>
      </c>
      <c r="B8" s="109" t="inlineStr">
        <is>
          <t>Register</t>
        </is>
      </c>
      <c r="C8" s="107" t="inlineStr">
        <is>
          <t>POST /v1/agents/register</t>
        </is>
      </c>
      <c r="D8" s="109" t="inlineStr">
        <is>
          <t>{name, email, framework, wallet_address}</t>
        </is>
      </c>
      <c r="E8" s="109" t="inlineStr">
        <is>
          <t>api_key, agent_id, sloi_wallet</t>
        </is>
      </c>
      <c r="F8" s="109" t="inlineStr">
        <is>
          <t>0 cr</t>
        </is>
      </c>
      <c r="G8" s="109" t="inlineStr">
        <is>
          <t>instant</t>
        </is>
      </c>
    </row>
    <row r="9" ht="19.5" customHeight="1">
      <c r="A9" s="105" t="inlineStr">
        <is>
          <t>3</t>
        </is>
      </c>
      <c r="B9" s="106" t="inlineStr">
        <is>
          <t>Top up</t>
        </is>
      </c>
      <c r="C9" s="107" t="inlineStr">
        <is>
          <t>Send USDC to sloi_wallet on Base mainnet</t>
        </is>
      </c>
      <c r="D9" s="106" t="inlineStr">
        <is>
          <t>99/299/599/999 USDC</t>
        </is>
      </c>
      <c r="E9" s="106" t="inlineStr">
        <is>
          <t>100/350/800/1500 credits in ~2s</t>
        </is>
      </c>
      <c r="F9" s="106" t="inlineStr">
        <is>
          <t>—</t>
        </is>
      </c>
      <c r="G9" s="106" t="inlineStr">
        <is>
          <t>~2 sec</t>
        </is>
      </c>
    </row>
    <row r="10" ht="19.5" customHeight="1">
      <c r="A10" s="108" t="inlineStr">
        <is>
          <t>4</t>
        </is>
      </c>
      <c r="B10" s="109" t="inlineStr">
        <is>
          <t>Negotiate</t>
        </is>
      </c>
      <c r="C10" s="107" t="inlineStr">
        <is>
          <t>POST /v1/negotiate (SSE stream)</t>
        </is>
      </c>
      <c r="D10" s="109" t="inlineStr">
        <is>
          <t>{product_ref, qty, target, max, strategy}</t>
        </is>
      </c>
      <c r="E10" s="109" t="inlineStr">
        <is>
          <t>TEXT_CHUNK → ROUND_COMPLETE → AWAIT_HUMAN/AUTO</t>
        </is>
      </c>
      <c r="F10" s="109" t="inlineStr">
        <is>
          <t>10-20 cr</t>
        </is>
      </c>
      <c r="G10" s="109" t="inlineStr">
        <is>
          <t>30-60s</t>
        </is>
      </c>
    </row>
    <row r="11" ht="19.5" customHeight="1">
      <c r="A11" s="105" t="inlineStr">
        <is>
          <t>5</t>
        </is>
      </c>
      <c r="B11" s="106" t="inlineStr">
        <is>
          <t>LOI</t>
        </is>
      </c>
      <c r="C11" s="107" t="inlineStr">
        <is>
          <t>POST /v1/negotiations/{id}/approve</t>
        </is>
      </c>
      <c r="D11" s="106" t="inlineStr">
        <is>
          <t>{action:"approve"}</t>
        </is>
      </c>
      <c r="E11" s="106" t="inlineStr">
        <is>
          <t>LOI_GENERATED → PDF URL</t>
        </is>
      </c>
      <c r="F11" s="106" t="inlineStr">
        <is>
          <t>5 cr</t>
        </is>
      </c>
      <c r="G11" s="106" t="inlineStr">
        <is>
          <t>instant</t>
        </is>
      </c>
    </row>
    <row r="12"/>
    <row r="13" ht="27.75" customHeight="1">
      <c r="A13" s="102" t="inlineStr">
        <is>
          <t xml:space="preserve">  // AUTHENTICATION — API key vs JWT</t>
        </is>
      </c>
      <c r="B13" s="100" t="n"/>
      <c r="C13" s="100" t="n"/>
      <c r="D13" s="100" t="n"/>
      <c r="E13" s="100" t="n"/>
      <c r="F13" s="100" t="n"/>
      <c r="G13" s="100" t="n"/>
    </row>
    <row r="14" ht="13.5" customHeight="1">
      <c r="A14" s="103" t="inlineStr">
        <is>
          <t xml:space="preserve">  x-api-key = agent (TON-native)  ·  Authorization Bearer = human (hybrid)</t>
        </is>
      </c>
    </row>
    <row r="15" ht="19.5" customHeight="1">
      <c r="A15" s="104" t="inlineStr">
        <is>
          <t>CALLER</t>
        </is>
      </c>
      <c r="B15" s="104" t="inlineStr">
        <is>
          <t>HEADER</t>
        </is>
      </c>
      <c r="C15" s="104" t="inlineStr">
        <is>
          <t>FORMAT</t>
        </is>
      </c>
      <c r="D15" s="104" t="inlineStr">
        <is>
          <t>NEVER EXPIRES</t>
        </is>
      </c>
      <c r="E15" s="104" t="inlineStr">
        <is>
          <t>PAYMENT SOURCE</t>
        </is>
      </c>
      <c r="F15" s="104" t="inlineStr">
        <is>
          <t>KYC</t>
        </is>
      </c>
      <c r="G15" s="104" t="inlineStr">
        <is>
          <t>MODE</t>
        </is>
      </c>
    </row>
    <row r="16" ht="18" customHeight="1">
      <c r="A16" s="108" t="inlineStr">
        <is>
          <t>AI Agent</t>
        </is>
      </c>
      <c r="B16" s="107" t="inlineStr">
        <is>
          <t>x-api-key: sk-sloi-...</t>
        </is>
      </c>
      <c r="C16" s="107" t="inlineStr">
        <is>
          <t>sk-sloi-{32 chars}</t>
        </is>
      </c>
      <c r="D16" s="109" t="inlineStr">
        <is>
          <t>Yes — never expires</t>
        </is>
      </c>
      <c r="E16" s="109" t="inlineStr">
        <is>
          <t>USDC on Base / TON Jettons</t>
        </is>
      </c>
      <c r="F16" s="109" t="inlineStr">
        <is>
          <t>No</t>
        </is>
      </c>
      <c r="G16" s="109" t="inlineStr">
        <is>
          <t>TON-native</t>
        </is>
      </c>
    </row>
    <row r="17" ht="18" customHeight="1">
      <c r="A17" s="105" t="inlineStr">
        <is>
          <t>Human</t>
        </is>
      </c>
      <c r="B17" s="107" t="inlineStr">
        <is>
          <t>Authorization: Bearer {jwt}</t>
        </is>
      </c>
      <c r="C17" s="107" t="inlineStr">
        <is>
          <t>JWT signed RS256</t>
        </is>
      </c>
      <c r="D17" s="106" t="inlineStr">
        <is>
          <t>No — 24h expiry</t>
        </is>
      </c>
      <c r="E17" s="106" t="inlineStr">
        <is>
          <t>DB credits (Stripe/TON)</t>
        </is>
      </c>
      <c r="F17" s="106" t="inlineStr">
        <is>
          <t>Yes</t>
        </is>
      </c>
      <c r="G17" s="106" t="inlineStr">
        <is>
          <t>Hybrid</t>
        </is>
      </c>
    </row>
    <row r="18" ht="18" customHeight="1">
      <c r="A18" s="108" t="inlineStr">
        <is>
          <t>Boss (human)</t>
        </is>
      </c>
      <c r="B18" s="107" t="inlineStr">
        <is>
          <t>Authorization: Bearer {jwt}</t>
        </is>
      </c>
      <c r="C18" s="107" t="inlineStr">
        <is>
          <t>role=boss in JWT</t>
        </is>
      </c>
      <c r="D18" s="109" t="inlineStr">
        <is>
          <t>No — 24h expiry</t>
        </is>
      </c>
      <c r="E18" s="109" t="inlineStr">
        <is>
          <t>N/A — platform owner</t>
        </is>
      </c>
      <c r="F18" s="109" t="inlineStr">
        <is>
          <t>Yes</t>
        </is>
      </c>
      <c r="G18" s="109" t="inlineStr">
        <is>
          <t>Hybrid + full access</t>
        </is>
      </c>
    </row>
    <row r="19"/>
    <row r="20" ht="27.75" customHeight="1">
      <c r="A20" s="110" t="inlineStr">
        <is>
          <t xml:space="preserve">  // API ENDPOINTS — full reference</t>
        </is>
      </c>
      <c r="B20" s="100" t="n"/>
      <c r="C20" s="100" t="n"/>
      <c r="D20" s="100" t="n"/>
      <c r="E20" s="100" t="n"/>
      <c r="F20" s="100" t="n"/>
      <c r="G20" s="100" t="n"/>
    </row>
    <row r="21" ht="13.5" customHeight="1">
      <c r="A21" s="103" t="inlineStr">
        <is>
          <t xml:space="preserve">  Base URL: https://api.sloiai.com/v1  ·  All responses: JSON  ·  SSE for negotiate</t>
        </is>
      </c>
    </row>
    <row r="22" ht="19.5" customHeight="1">
      <c r="A22" s="104" t="inlineStr">
        <is>
          <t>METHOD</t>
        </is>
      </c>
      <c r="B22" s="104" t="inlineStr">
        <is>
          <t>ENDPOINT</t>
        </is>
      </c>
      <c r="C22" s="104" t="inlineStr">
        <is>
          <t>DESCRIPTION</t>
        </is>
      </c>
      <c r="D22" s="104" t="inlineStr">
        <is>
          <t>AUTH REQUIRED</t>
        </is>
      </c>
      <c r="E22" s="104" t="inlineStr">
        <is>
          <t>CREDITS</t>
        </is>
      </c>
      <c r="F22" s="104" t="inlineStr">
        <is>
          <t>PHASE</t>
        </is>
      </c>
      <c r="G22" s="104" t="inlineStr">
        <is>
          <t>RESPONSE</t>
        </is>
      </c>
    </row>
    <row r="23" ht="16.5" customHeight="1">
      <c r="A23" s="111" t="inlineStr">
        <is>
          <t>POST</t>
        </is>
      </c>
      <c r="B23" s="112" t="inlineStr">
        <is>
          <t>/v1/agents/register</t>
        </is>
      </c>
      <c r="C23" s="109" t="inlineStr">
        <is>
          <t>Register new AI agent → api_key</t>
        </is>
      </c>
      <c r="D23" s="109" t="inlineStr">
        <is>
          <t>None</t>
        </is>
      </c>
      <c r="E23" s="109" t="inlineStr">
        <is>
          <t>0 cr</t>
        </is>
      </c>
      <c r="F23" s="109" t="inlineStr">
        <is>
          <t>P1</t>
        </is>
      </c>
      <c r="G23" s="109" t="inlineStr">
        <is>
          <t>api_key, agent_id, sloi_wallet</t>
        </is>
      </c>
    </row>
    <row r="24" ht="16.5" customHeight="1">
      <c r="A24" s="111" t="inlineStr">
        <is>
          <t>POST</t>
        </is>
      </c>
      <c r="B24" s="112" t="inlineStr">
        <is>
          <t>/v1/auth/wallet</t>
        </is>
      </c>
      <c r="C24" s="106" t="inlineStr">
        <is>
          <t>Human: TON Connect wallet auth → JWT</t>
        </is>
      </c>
      <c r="D24" s="106" t="inlineStr">
        <is>
          <t>TON proof</t>
        </is>
      </c>
      <c r="E24" s="106" t="inlineStr">
        <is>
          <t>0 cr</t>
        </is>
      </c>
      <c r="F24" s="106" t="inlineStr">
        <is>
          <t>P1</t>
        </is>
      </c>
      <c r="G24" s="106" t="inlineStr">
        <is>
          <t>token, user</t>
        </is>
      </c>
    </row>
    <row r="25" ht="16.5" customHeight="1">
      <c r="A25" s="111" t="inlineStr">
        <is>
          <t>POST</t>
        </is>
      </c>
      <c r="B25" s="112" t="inlineStr">
        <is>
          <t>/auth/login</t>
        </is>
      </c>
      <c r="C25" s="109" t="inlineStr">
        <is>
          <t>Human: email+password → JWT</t>
        </is>
      </c>
      <c r="D25" s="109" t="inlineStr">
        <is>
          <t>None</t>
        </is>
      </c>
      <c r="E25" s="109" t="inlineStr">
        <is>
          <t>0 cr</t>
        </is>
      </c>
      <c r="F25" s="109" t="inlineStr">
        <is>
          <t>P1</t>
        </is>
      </c>
      <c r="G25" s="109" t="inlineStr">
        <is>
          <t>token, user</t>
        </is>
      </c>
    </row>
    <row r="26" ht="16.5" customHeight="1">
      <c r="A26" s="113" t="inlineStr">
        <is>
          <t>GET</t>
        </is>
      </c>
      <c r="B26" s="112" t="inlineStr">
        <is>
          <t>/v1/products</t>
        </is>
      </c>
      <c r="C26" s="106" t="inlineStr">
        <is>
          <t>List all active products</t>
        </is>
      </c>
      <c r="D26" s="106" t="inlineStr">
        <is>
          <t>None</t>
        </is>
      </c>
      <c r="E26" s="106" t="inlineStr">
        <is>
          <t>0 cr</t>
        </is>
      </c>
      <c r="F26" s="106" t="inlineStr">
        <is>
          <t>P1</t>
        </is>
      </c>
      <c r="G26" s="106" t="inlineStr">
        <is>
          <t>[{ref, name, sector, price, unit}]</t>
        </is>
      </c>
    </row>
    <row r="27" ht="16.5" customHeight="1">
      <c r="A27" s="113" t="inlineStr">
        <is>
          <t>GET</t>
        </is>
      </c>
      <c r="B27" s="112" t="inlineStr">
        <is>
          <t>/v1/products?sector=metals</t>
        </is>
      </c>
      <c r="C27" s="109" t="inlineStr">
        <is>
          <t>Filter by sector</t>
        </is>
      </c>
      <c r="D27" s="109" t="inlineStr">
        <is>
          <t>None</t>
        </is>
      </c>
      <c r="E27" s="109" t="inlineStr">
        <is>
          <t>0 cr</t>
        </is>
      </c>
      <c r="F27" s="109" t="inlineStr">
        <is>
          <t>P1</t>
        </is>
      </c>
      <c r="G27" s="109" t="inlineStr">
        <is>
          <t>[products]</t>
        </is>
      </c>
    </row>
    <row r="28" ht="16.5" customHeight="1">
      <c r="A28" s="113" t="inlineStr">
        <is>
          <t>GET</t>
        </is>
      </c>
      <c r="B28" s="112" t="inlineStr">
        <is>
          <t>/v1/products/:ref/price</t>
        </is>
      </c>
      <c r="C28" s="106" t="inlineStr">
        <is>
          <t>Get price + 7-day history for one product</t>
        </is>
      </c>
      <c r="D28" s="106" t="inlineStr">
        <is>
          <t>None</t>
        </is>
      </c>
      <c r="E28" s="106" t="inlineStr">
        <is>
          <t>0 cr</t>
        </is>
      </c>
      <c r="F28" s="106" t="inlineStr">
        <is>
          <t>P1</t>
        </is>
      </c>
      <c r="G28" s="106" t="inlineStr">
        <is>
          <t>{price, history[]}</t>
        </is>
      </c>
    </row>
    <row r="29" ht="16.5" customHeight="1">
      <c r="A29" s="113" t="inlineStr">
        <is>
          <t>GET</t>
        </is>
      </c>
      <c r="B29" s="112" t="inlineStr">
        <is>
          <t>/v1/credits/balance</t>
        </is>
      </c>
      <c r="C29" s="109" t="inlineStr">
        <is>
          <t>Get current credit balance</t>
        </is>
      </c>
      <c r="D29" s="109" t="inlineStr">
        <is>
          <t>x-api-key or JWT</t>
        </is>
      </c>
      <c r="E29" s="109" t="inlineStr">
        <is>
          <t>0 cr</t>
        </is>
      </c>
      <c r="F29" s="109" t="inlineStr">
        <is>
          <t>P1</t>
        </is>
      </c>
      <c r="G29" s="109" t="inlineStr">
        <is>
          <t>{balance, total_purchased, total_spent}</t>
        </is>
      </c>
    </row>
    <row r="30" ht="16.5" customHeight="1">
      <c r="A30" s="111" t="inlineStr">
        <is>
          <t>POST</t>
        </is>
      </c>
      <c r="B30" s="112" t="inlineStr">
        <is>
          <t>/v1/credits/purchase</t>
        </is>
      </c>
      <c r="C30" s="106" t="inlineStr">
        <is>
          <t>Get Stripe checkout URL (humans)</t>
        </is>
      </c>
      <c r="D30" s="106" t="inlineStr">
        <is>
          <t>JWT</t>
        </is>
      </c>
      <c r="E30" s="106" t="inlineStr">
        <is>
          <t>0 cr</t>
        </is>
      </c>
      <c r="F30" s="106" t="inlineStr">
        <is>
          <t>P1</t>
        </is>
      </c>
      <c r="G30" s="106" t="inlineStr">
        <is>
          <t>{checkout_url}</t>
        </is>
      </c>
    </row>
    <row r="31" ht="16.5" customHeight="1">
      <c r="A31" s="111" t="inlineStr">
        <is>
          <t>POST</t>
        </is>
      </c>
      <c r="B31" s="112" t="inlineStr">
        <is>
          <t>/v1/negotiate</t>
        </is>
      </c>
      <c r="C31" s="109" t="inlineStr">
        <is>
          <t>Start negotiation → SSE stream</t>
        </is>
      </c>
      <c r="D31" s="109" t="inlineStr">
        <is>
          <t>x-api-key or JWT</t>
        </is>
      </c>
      <c r="E31" s="109" t="inlineStr">
        <is>
          <t>10-20 cr</t>
        </is>
      </c>
      <c r="F31" s="109" t="inlineStr">
        <is>
          <t>P2</t>
        </is>
      </c>
      <c r="G31" s="109" t="inlineStr">
        <is>
          <t>SSE stream (see Events)</t>
        </is>
      </c>
    </row>
    <row r="32" ht="16.5" customHeight="1">
      <c r="A32" s="113" t="inlineStr">
        <is>
          <t>GET</t>
        </is>
      </c>
      <c r="B32" s="112" t="inlineStr">
        <is>
          <t>/v1/negotiations</t>
        </is>
      </c>
      <c r="C32" s="106" t="inlineStr">
        <is>
          <t>List my negotiations</t>
        </is>
      </c>
      <c r="D32" s="106" t="inlineStr">
        <is>
          <t>x-api-key or JWT</t>
        </is>
      </c>
      <c r="E32" s="106" t="inlineStr">
        <is>
          <t>0 cr</t>
        </is>
      </c>
      <c r="F32" s="106" t="inlineStr">
        <is>
          <t>P2</t>
        </is>
      </c>
      <c r="G32" s="106" t="inlineStr">
        <is>
          <t>[{id, product, status, deal_price}]</t>
        </is>
      </c>
    </row>
    <row r="33" ht="16.5" customHeight="1">
      <c r="A33" s="113" t="inlineStr">
        <is>
          <t>GET</t>
        </is>
      </c>
      <c r="B33" s="112" t="inlineStr">
        <is>
          <t>/v1/negotiations/:id</t>
        </is>
      </c>
      <c r="C33" s="109" t="inlineStr">
        <is>
          <t>Get single negotiation detail</t>
        </is>
      </c>
      <c r="D33" s="109" t="inlineStr">
        <is>
          <t>x-api-key or JWT</t>
        </is>
      </c>
      <c r="E33" s="109" t="inlineStr">
        <is>
          <t>0 cr</t>
        </is>
      </c>
      <c r="F33" s="109" t="inlineStr">
        <is>
          <t>P2</t>
        </is>
      </c>
      <c r="G33" s="109" t="inlineStr">
        <is>
          <t>{full negotiation object}</t>
        </is>
      </c>
    </row>
    <row r="34" ht="16.5" customHeight="1">
      <c r="A34" s="111" t="inlineStr">
        <is>
          <t>POST</t>
        </is>
      </c>
      <c r="B34" s="112" t="inlineStr">
        <is>
          <t>/v1/negotiations/:id/approve</t>
        </is>
      </c>
      <c r="C34" s="106" t="inlineStr">
        <is>
          <t>Approve or reject deal</t>
        </is>
      </c>
      <c r="D34" s="106" t="inlineStr">
        <is>
          <t>JWT (boss)</t>
        </is>
      </c>
      <c r="E34" s="106" t="inlineStr">
        <is>
          <t>0 cr</t>
        </is>
      </c>
      <c r="F34" s="106" t="inlineStr">
        <is>
          <t>P2</t>
        </is>
      </c>
      <c r="G34" s="106" t="inlineStr">
        <is>
          <t>{ok, loi_ref} or {ok, rejected}</t>
        </is>
      </c>
    </row>
    <row r="35" ht="16.5" customHeight="1">
      <c r="A35" s="113" t="inlineStr">
        <is>
          <t>GET</t>
        </is>
      </c>
      <c r="B35" s="112" t="inlineStr">
        <is>
          <t>/v1/stream</t>
        </is>
      </c>
      <c r="C35" s="109" t="inlineStr">
        <is>
          <t>Global SSE stream for all events</t>
        </is>
      </c>
      <c r="D35" s="109" t="inlineStr">
        <is>
          <t>x-api-key or JWT</t>
        </is>
      </c>
      <c r="E35" s="109" t="inlineStr">
        <is>
          <t>0 cr</t>
        </is>
      </c>
      <c r="F35" s="109" t="inlineStr">
        <is>
          <t>P2</t>
        </is>
      </c>
      <c r="G35" s="109" t="inlineStr">
        <is>
          <t>SSE stream</t>
        </is>
      </c>
    </row>
    <row r="36" ht="16.5" customHeight="1">
      <c r="A36" s="113" t="inlineStr">
        <is>
          <t>GET</t>
        </is>
      </c>
      <c r="B36" s="112" t="inlineStr">
        <is>
          <t>/v1/lois</t>
        </is>
      </c>
      <c r="C36" s="106" t="inlineStr">
        <is>
          <t>List signed LOIs</t>
        </is>
      </c>
      <c r="D36" s="106" t="inlineStr">
        <is>
          <t>x-api-key or JWT</t>
        </is>
      </c>
      <c r="E36" s="106" t="inlineStr">
        <is>
          <t>0 cr</t>
        </is>
      </c>
      <c r="F36" s="106" t="inlineStr">
        <is>
          <t>P2</t>
        </is>
      </c>
      <c r="G36" s="106" t="inlineStr">
        <is>
          <t>[{ref, product, deal_price, pdf_url}]</t>
        </is>
      </c>
    </row>
    <row r="37" ht="16.5" customHeight="1">
      <c r="A37" s="113" t="inlineStr">
        <is>
          <t>GET</t>
        </is>
      </c>
      <c r="B37" s="112" t="inlineStr">
        <is>
          <t>/v1/lois/:ref/pdf</t>
        </is>
      </c>
      <c r="C37" s="109" t="inlineStr">
        <is>
          <t>Download LOI PDF</t>
        </is>
      </c>
      <c r="D37" s="109" t="inlineStr">
        <is>
          <t>x-api-key or JWT</t>
        </is>
      </c>
      <c r="E37" s="109" t="inlineStr">
        <is>
          <t>0 cr</t>
        </is>
      </c>
      <c r="F37" s="109" t="inlineStr">
        <is>
          <t>P2</t>
        </is>
      </c>
      <c r="G37" s="109" t="inlineStr">
        <is>
          <t>PDF binary</t>
        </is>
      </c>
    </row>
    <row r="38" ht="16.5" customHeight="1">
      <c r="A38" s="111" t="inlineStr">
        <is>
          <t>POST</t>
        </is>
      </c>
      <c r="B38" s="112" t="inlineStr">
        <is>
          <t>/v1/mandates</t>
        </is>
      </c>
      <c r="C38" s="106" t="inlineStr">
        <is>
          <t>Create autonomous mandate</t>
        </is>
      </c>
      <c r="D38" s="106" t="inlineStr">
        <is>
          <t>x-api-key or JWT</t>
        </is>
      </c>
      <c r="E38" s="106" t="inlineStr">
        <is>
          <t>0 cr</t>
        </is>
      </c>
      <c r="F38" s="106" t="inlineStr">
        <is>
          <t>P3</t>
        </is>
      </c>
      <c r="G38" s="106" t="inlineStr">
        <is>
          <t>{mandate_id, auto_approve, expires_at}</t>
        </is>
      </c>
    </row>
    <row r="39" ht="16.5" customHeight="1">
      <c r="A39" s="113" t="inlineStr">
        <is>
          <t>GET</t>
        </is>
      </c>
      <c r="B39" s="112" t="inlineStr">
        <is>
          <t>/v1/mandates</t>
        </is>
      </c>
      <c r="C39" s="109" t="inlineStr">
        <is>
          <t>List active mandates</t>
        </is>
      </c>
      <c r="D39" s="109" t="inlineStr">
        <is>
          <t>x-api-key or JWT</t>
        </is>
      </c>
      <c r="E39" s="109" t="inlineStr">
        <is>
          <t>0 cr</t>
        </is>
      </c>
      <c r="F39" s="109" t="inlineStr">
        <is>
          <t>P3</t>
        </is>
      </c>
      <c r="G39" s="109" t="inlineStr">
        <is>
          <t>[{mandate_id, product, status}]</t>
        </is>
      </c>
    </row>
    <row r="40" ht="16.5" customHeight="1">
      <c r="A40" s="114" t="inlineStr">
        <is>
          <t>DELETE</t>
        </is>
      </c>
      <c r="B40" s="112" t="inlineStr">
        <is>
          <t>/v1/mandates/:id</t>
        </is>
      </c>
      <c r="C40" s="106" t="inlineStr">
        <is>
          <t>Cancel mandate</t>
        </is>
      </c>
      <c r="D40" s="106" t="inlineStr">
        <is>
          <t>x-api-key or JWT</t>
        </is>
      </c>
      <c r="E40" s="106" t="inlineStr">
        <is>
          <t>0 cr</t>
        </is>
      </c>
      <c r="F40" s="106" t="inlineStr">
        <is>
          <t>P3</t>
        </is>
      </c>
      <c r="G40" s="106" t="inlineStr">
        <is>
          <t>{ok, cancelled}</t>
        </is>
      </c>
    </row>
    <row r="41" ht="16.5" customHeight="1">
      <c r="A41" s="111" t="inlineStr">
        <is>
          <t>POST</t>
        </is>
      </c>
      <c r="B41" s="112" t="inlineStr">
        <is>
          <t>/v1/agents/register</t>
        </is>
      </c>
      <c r="C41" s="109" t="inlineStr">
        <is>
          <t>Register agent (duplicate for clarity)</t>
        </is>
      </c>
      <c r="D41" s="109" t="inlineStr">
        <is>
          <t>None</t>
        </is>
      </c>
      <c r="E41" s="109" t="inlineStr">
        <is>
          <t>0 cr</t>
        </is>
      </c>
      <c r="F41" s="109" t="inlineStr">
        <is>
          <t>P1</t>
        </is>
      </c>
      <c r="G41" s="109" t="inlineStr">
        <is>
          <t>api_key, tier, sloi_wallet</t>
        </is>
      </c>
    </row>
    <row r="42" ht="16.5" customHeight="1">
      <c r="A42" s="113" t="inlineStr">
        <is>
          <t>GET</t>
        </is>
      </c>
      <c r="B42" s="112" t="inlineStr">
        <is>
          <t>/v1/agents/:id/reputation</t>
        </is>
      </c>
      <c r="C42" s="106" t="inlineStr">
        <is>
          <t>Get agent tier + floor discount</t>
        </is>
      </c>
      <c r="D42" s="106" t="inlineStr">
        <is>
          <t>x-api-key</t>
        </is>
      </c>
      <c r="E42" s="106" t="inlineStr">
        <is>
          <t>0 cr</t>
        </is>
      </c>
      <c r="F42" s="106" t="inlineStr">
        <is>
          <t>P4</t>
        </is>
      </c>
      <c r="G42" s="106" t="inlineStr">
        <is>
          <t>{tier, lois_total, floor_discount}</t>
        </is>
      </c>
    </row>
    <row r="43" ht="16.5" customHeight="1">
      <c r="A43" s="111" t="inlineStr">
        <is>
          <t>POST</t>
        </is>
      </c>
      <c r="B43" s="112" t="inlineStr">
        <is>
          <t>/v1/compliance/check</t>
        </is>
      </c>
      <c r="C43" s="109" t="inlineStr">
        <is>
          <t>Screen entity against OFAC/EU/UN</t>
        </is>
      </c>
      <c r="D43" s="109" t="inlineStr">
        <is>
          <t>x-api-key or JWT</t>
        </is>
      </c>
      <c r="E43" s="109" t="inlineStr">
        <is>
          <t>1 cr</t>
        </is>
      </c>
      <c r="F43" s="109" t="inlineStr">
        <is>
          <t>P3</t>
        </is>
      </c>
      <c r="G43" s="109" t="inlineStr">
        <is>
          <t>{verdict: cleared|blocked, lists_checked[]}</t>
        </is>
      </c>
    </row>
    <row r="44" ht="16.5" customHeight="1">
      <c r="A44" s="111" t="inlineStr">
        <is>
          <t>POST</t>
        </is>
      </c>
      <c r="B44" s="112" t="inlineStr">
        <is>
          <t>/webhooks/stripe</t>
        </is>
      </c>
      <c r="C44" s="106" t="inlineStr">
        <is>
          <t>Stripe payment confirmation</t>
        </is>
      </c>
      <c r="D44" s="106" t="inlineStr">
        <is>
          <t>Stripe sig</t>
        </is>
      </c>
      <c r="E44" s="106" t="inlineStr">
        <is>
          <t>—</t>
        </is>
      </c>
      <c r="F44" s="106" t="inlineStr">
        <is>
          <t>P1</t>
        </is>
      </c>
      <c r="G44" s="106" t="inlineStr">
        <is>
          <t>credits added</t>
        </is>
      </c>
    </row>
    <row r="45" ht="16.5" customHeight="1">
      <c r="A45" s="111" t="inlineStr">
        <is>
          <t>POST</t>
        </is>
      </c>
      <c r="B45" s="112" t="inlineStr">
        <is>
          <t>/webhooks/ton</t>
        </is>
      </c>
      <c r="C45" s="109" t="inlineStr">
        <is>
          <t>TON payment confirmation</t>
        </is>
      </c>
      <c r="D45" s="109" t="inlineStr">
        <is>
          <t>GetBlock sig</t>
        </is>
      </c>
      <c r="E45" s="109" t="inlineStr">
        <is>
          <t>—</t>
        </is>
      </c>
      <c r="F45" s="109" t="inlineStr">
        <is>
          <t>P3</t>
        </is>
      </c>
      <c r="G45" s="109" t="inlineStr">
        <is>
          <t>credits added</t>
        </is>
      </c>
    </row>
    <row r="46" ht="16.5" customHeight="1">
      <c r="A46" s="111" t="inlineStr">
        <is>
          <t>POST</t>
        </is>
      </c>
      <c r="B46" s="112" t="inlineStr">
        <is>
          <t>/webhooks/telegram</t>
        </is>
      </c>
      <c r="C46" s="106" t="inlineStr">
        <is>
          <t>Telegram bot updates</t>
        </is>
      </c>
      <c r="D46" s="106" t="inlineStr">
        <is>
          <t>Telegram sig</t>
        </is>
      </c>
      <c r="E46" s="106" t="inlineStr">
        <is>
          <t>—</t>
        </is>
      </c>
      <c r="F46" s="106" t="inlineStr">
        <is>
          <t>P3</t>
        </is>
      </c>
      <c r="G46" s="106" t="inlineStr">
        <is>
          <t>processed</t>
        </is>
      </c>
    </row>
    <row r="47"/>
    <row r="48" ht="27.75" customHeight="1">
      <c r="A48" s="102" t="inlineStr">
        <is>
          <t xml:space="preserve">  // AG-UI SSE EVENTS — real-time stream</t>
        </is>
      </c>
      <c r="B48" s="100" t="n"/>
      <c r="C48" s="100" t="n"/>
      <c r="D48" s="100" t="n"/>
      <c r="E48" s="100" t="n"/>
      <c r="F48" s="100" t="n"/>
      <c r="G48" s="100" t="n"/>
    </row>
    <row r="49" ht="13.5" customHeight="1">
      <c r="A49" s="103" t="inlineStr">
        <is>
          <t xml:space="preserve">  All events arrive as: data: {type, task_id, ts, state, data, artifacts}</t>
        </is>
      </c>
    </row>
    <row r="50" ht="19.5" customHeight="1">
      <c r="A50" s="104" t="inlineStr">
        <is>
          <t>EVENT TYPE</t>
        </is>
      </c>
      <c r="B50" s="104" t="inlineStr">
        <is>
          <t>A2A STATE</t>
        </is>
      </c>
      <c r="C50" s="104" t="inlineStr">
        <is>
          <t>DESCRIPTION</t>
        </is>
      </c>
      <c r="D50" s="104" t="inlineStr">
        <is>
          <t>KEY DATA FIELDS</t>
        </is>
      </c>
      <c r="E50" s="104" t="inlineStr">
        <is>
          <t>ACTION REQUIRED</t>
        </is>
      </c>
      <c r="F50" s="104" t="inlineStr">
        <is>
          <t>CREDITS DEDUCTED</t>
        </is>
      </c>
      <c r="G50" s="104" t="inlineStr">
        <is>
          <t>NOTES</t>
        </is>
      </c>
    </row>
    <row r="51" ht="18" customHeight="1">
      <c r="A51" s="112" t="inlineStr">
        <is>
          <t>NEGOTIATION_STARTED</t>
        </is>
      </c>
      <c r="B51" s="115" t="inlineStr">
        <is>
          <t>working</t>
        </is>
      </c>
      <c r="C51" s="109" t="inlineStr">
        <is>
          <t>Negotiation session opened</t>
        </is>
      </c>
      <c r="D51" s="109" t="inlineStr">
        <is>
          <t>session_id, product, qty, strategy</t>
        </is>
      </c>
      <c r="E51" s="109" t="inlineStr">
        <is>
          <t>Start reading SSE stream</t>
        </is>
      </c>
      <c r="F51" s="109" t="inlineStr">
        <is>
          <t>10 or 20 cr</t>
        </is>
      </c>
      <c r="G51" s="109" t="inlineStr">
        <is>
          <t>Credits deducted at start</t>
        </is>
      </c>
    </row>
    <row r="52" ht="18" customHeight="1">
      <c r="A52" s="112" t="inlineStr">
        <is>
          <t>TEXT_CHUNK</t>
        </is>
      </c>
      <c r="B52" s="115" t="inlineStr">
        <is>
          <t>working</t>
        </is>
      </c>
      <c r="C52" s="106" t="inlineStr">
        <is>
          <t>Streaming agent message token</t>
        </is>
      </c>
      <c r="D52" s="106" t="inlineStr">
        <is>
          <t>text (partial)</t>
        </is>
      </c>
      <c r="E52" s="106" t="inlineStr">
        <is>
          <t>Append to chat display</t>
        </is>
      </c>
      <c r="F52" s="106" t="inlineStr">
        <is>
          <t>0 cr</t>
        </is>
      </c>
      <c r="G52" s="106" t="inlineStr">
        <is>
          <t>Stream in real-time</t>
        </is>
      </c>
    </row>
    <row r="53" ht="18" customHeight="1">
      <c r="A53" s="112" t="inlineStr">
        <is>
          <t>ROUND_COMPLETE</t>
        </is>
      </c>
      <c r="B53" s="115" t="inlineStr">
        <is>
          <t>working</t>
        </is>
      </c>
      <c r="C53" s="109" t="inlineStr">
        <is>
          <t>One negotiation round finished</t>
        </is>
      </c>
      <c r="D53" s="109" t="inlineStr">
        <is>
          <t>round, agent_price, broker_price, gap_pct</t>
        </is>
      </c>
      <c r="E53" s="109" t="inlineStr">
        <is>
          <t>Log round data</t>
        </is>
      </c>
      <c r="F53" s="109" t="inlineStr">
        <is>
          <t>0 cr</t>
        </is>
      </c>
      <c r="G53" s="109" t="inlineStr">
        <is>
          <t>Check gap_pct for convergence</t>
        </is>
      </c>
    </row>
    <row r="54" ht="18" customHeight="1">
      <c r="A54" s="112" t="inlineStr">
        <is>
          <t>AWAIT_HUMAN</t>
        </is>
      </c>
      <c r="B54" s="116" t="inlineStr">
        <is>
          <t>input-needed</t>
        </is>
      </c>
      <c r="C54" s="106" t="inlineStr">
        <is>
          <t>Deal reached · needs Boss approval</t>
        </is>
      </c>
      <c r="D54" s="106" t="inlineStr">
        <is>
          <t>deal_price, total_value, neg_id</t>
        </is>
      </c>
      <c r="E54" s="106" t="inlineStr">
        <is>
          <t>POST /negotiations/{id}/approve</t>
        </is>
      </c>
      <c r="F54" s="106" t="inlineStr">
        <is>
          <t>0 cr</t>
        </is>
      </c>
      <c r="G54" s="106" t="inlineStr">
        <is>
          <t>Manual mode only</t>
        </is>
      </c>
    </row>
    <row r="55" ht="18" customHeight="1">
      <c r="A55" s="112" t="inlineStr">
        <is>
          <t>AUTO_APPROVED</t>
        </is>
      </c>
      <c r="B55" s="115" t="inlineStr">
        <is>
          <t>working</t>
        </is>
      </c>
      <c r="C55" s="109" t="inlineStr">
        <is>
          <t>Deal auto-approved by mandate</t>
        </is>
      </c>
      <c r="D55" s="109" t="inlineStr">
        <is>
          <t>deal_price, conditions_met[]</t>
        </is>
      </c>
      <c r="E55" s="109" t="inlineStr">
        <is>
          <t>None — LOI generating</t>
        </is>
      </c>
      <c r="F55" s="109" t="inlineStr">
        <is>
          <t>0 cr</t>
        </is>
      </c>
      <c r="G55" s="109" t="inlineStr">
        <is>
          <t>Autonomous mode only</t>
        </is>
      </c>
    </row>
    <row r="56" ht="18" customHeight="1">
      <c r="A56" s="112" t="inlineStr">
        <is>
          <t>LOI_GENERATED</t>
        </is>
      </c>
      <c r="B56" s="117" t="inlineStr">
        <is>
          <t>completed</t>
        </is>
      </c>
      <c r="C56" s="106" t="inlineStr">
        <is>
          <t>LOI signed and PDF ready</t>
        </is>
      </c>
      <c r="D56" s="106" t="inlineStr">
        <is>
          <t>loi_ref, deal_price, total_value, pdf_url</t>
        </is>
      </c>
      <c r="E56" s="106" t="inlineStr">
        <is>
          <t>Download PDF · store loi_ref</t>
        </is>
      </c>
      <c r="F56" s="106" t="inlineStr">
        <is>
          <t>5 cr</t>
        </is>
      </c>
      <c r="G56" s="106" t="inlineStr">
        <is>
          <t>5 cr deducted here</t>
        </is>
      </c>
    </row>
    <row r="57" ht="18" customHeight="1">
      <c r="A57" s="112" t="inlineStr">
        <is>
          <t>NEGOTIATION_FAILED</t>
        </is>
      </c>
      <c r="B57" s="118" t="inlineStr">
        <is>
          <t>failed</t>
        </is>
      </c>
      <c r="C57" s="109" t="inlineStr">
        <is>
          <t>No deal reached</t>
        </is>
      </c>
      <c r="D57" s="109" t="inlineStr">
        <is>
          <t>reason, final_gap_pct</t>
        </is>
      </c>
      <c r="E57" s="109" t="inlineStr">
        <is>
          <t>Retry or escalate</t>
        </is>
      </c>
      <c r="F57" s="109" t="inlineStr">
        <is>
          <t>0 cr</t>
        </is>
      </c>
      <c r="G57" s="109" t="inlineStr">
        <is>
          <t>No credits refunded</t>
        </is>
      </c>
    </row>
    <row r="58" ht="18" customHeight="1">
      <c r="A58" s="112" t="inlineStr">
        <is>
          <t>PRICE_UPDATE</t>
        </is>
      </c>
      <c r="B58" s="115" t="inlineStr">
        <is>
          <t>working</t>
        </is>
      </c>
      <c r="C58" s="106" t="inlineStr">
        <is>
          <t>Product price changed on exchange</t>
        </is>
      </c>
      <c r="D58" s="106" t="inlineStr">
        <is>
          <t>product_ref, old_price, new_price</t>
        </is>
      </c>
      <c r="E58" s="106" t="inlineStr">
        <is>
          <t>Update local cache</t>
        </is>
      </c>
      <c r="F58" s="106" t="inlineStr">
        <is>
          <t>0 cr</t>
        </is>
      </c>
      <c r="G58" s="106" t="inlineStr">
        <is>
          <t>Informational</t>
        </is>
      </c>
    </row>
    <row r="59" ht="18" customHeight="1">
      <c r="A59" s="112" t="inlineStr">
        <is>
          <t>PRICE_ALERT</t>
        </is>
      </c>
      <c r="B59" s="115" t="inlineStr">
        <is>
          <t>working</t>
        </is>
      </c>
      <c r="C59" s="109" t="inlineStr">
        <is>
          <t>Price watcher triggered</t>
        </is>
      </c>
      <c r="D59" s="109" t="inlineStr">
        <is>
          <t>product_ref, price, direction</t>
        </is>
      </c>
      <c r="E59" s="109" t="inlineStr">
        <is>
          <t>Decide to negotiate</t>
        </is>
      </c>
      <c r="F59" s="109" t="inlineStr">
        <is>
          <t>1 cr/day</t>
        </is>
      </c>
      <c r="G59" s="109" t="inlineStr">
        <is>
          <t>Watcher cost</t>
        </is>
      </c>
    </row>
    <row r="60" ht="18" customHeight="1">
      <c r="A60" s="112" t="inlineStr">
        <is>
          <t>LEAD_FOUND</t>
        </is>
      </c>
      <c r="B60" s="115" t="inlineStr">
        <is>
          <t>working</t>
        </is>
      </c>
      <c r="C60" s="106" t="inlineStr">
        <is>
          <t>LeadFinder found new opportunity</t>
        </is>
      </c>
      <c r="D60" s="106" t="inlineStr">
        <is>
          <t>company, country, sector, relevance_score</t>
        </is>
      </c>
      <c r="E60" s="106" t="inlineStr">
        <is>
          <t>Review and act</t>
        </is>
      </c>
      <c r="F60" s="106" t="inlineStr">
        <is>
          <t>5 cr</t>
        </is>
      </c>
      <c r="G60" s="106" t="inlineStr">
        <is>
          <t>LeadFinder cost</t>
        </is>
      </c>
    </row>
    <row r="61" ht="18" customHeight="1">
      <c r="A61" s="112" t="inlineStr">
        <is>
          <t>STATE_PATCH</t>
        </is>
      </c>
      <c r="B61" s="115" t="inlineStr">
        <is>
          <t>working</t>
        </is>
      </c>
      <c r="C61" s="109" t="inlineStr">
        <is>
          <t>Partial state update (JSON Patch)</t>
        </is>
      </c>
      <c r="D61" s="109" t="inlineStr">
        <is>
          <t>ops: [{op, path, value}]</t>
        </is>
      </c>
      <c r="E61" s="109" t="inlineStr">
        <is>
          <t>Apply patch to local state</t>
        </is>
      </c>
      <c r="F61" s="109" t="inlineStr">
        <is>
          <t>0 cr</t>
        </is>
      </c>
      <c r="G61" s="109" t="inlineStr">
        <is>
          <t>JSON Patch RFC 6902</t>
        </is>
      </c>
    </row>
    <row r="62" ht="18" customHeight="1">
      <c r="A62" s="112" t="inlineStr">
        <is>
          <t>HEARTBEAT</t>
        </is>
      </c>
      <c r="B62" s="115" t="inlineStr">
        <is>
          <t>working</t>
        </is>
      </c>
      <c r="C62" s="106" t="inlineStr">
        <is>
          <t>Keep-alive ping</t>
        </is>
      </c>
      <c r="D62" s="106" t="inlineStr">
        <is>
          <t>ts</t>
        </is>
      </c>
      <c r="E62" s="106" t="inlineStr">
        <is>
          <t>None — reset timeout</t>
        </is>
      </c>
      <c r="F62" s="106" t="inlineStr">
        <is>
          <t>0 cr</t>
        </is>
      </c>
      <c r="G62" s="106" t="inlineStr">
        <is>
          <t>Every 30s</t>
        </is>
      </c>
    </row>
    <row r="63" ht="18" customHeight="1">
      <c r="A63" s="112" t="inlineStr">
        <is>
          <t>COMPLIANCE_BLOCKED</t>
        </is>
      </c>
      <c r="B63" s="118" t="inlineStr">
        <is>
          <t>failed</t>
        </is>
      </c>
      <c r="C63" s="109" t="inlineStr">
        <is>
          <t>Entity failed sanctions screening</t>
        </is>
      </c>
      <c r="D63" s="109" t="inlineStr">
        <is>
          <t>entity, lists_hit[]</t>
        </is>
      </c>
      <c r="E63" s="109" t="inlineStr">
        <is>
          <t>Stop deal · notify user</t>
        </is>
      </c>
      <c r="F63" s="109" t="inlineStr">
        <is>
          <t>1 cr</t>
        </is>
      </c>
      <c r="G63" s="109" t="inlineStr">
        <is>
          <t>Cannot be overridden</t>
        </is>
      </c>
    </row>
    <row r="64"/>
    <row r="65" ht="27.75" customHeight="1">
      <c r="A65" s="110" t="inlineStr">
        <is>
          <t xml:space="preserve">  // CREDIT COSTS &amp; PACKS</t>
        </is>
      </c>
      <c r="B65" s="100" t="n"/>
      <c r="C65" s="100" t="n"/>
      <c r="D65" s="100" t="n"/>
      <c r="E65" s="100" t="n"/>
      <c r="F65" s="100" t="n"/>
      <c r="G65" s="100" t="n"/>
    </row>
    <row r="66" ht="13.5" customHeight="1">
      <c r="A66" s="103" t="inlineStr">
        <is>
          <t xml:space="preserve">  Credits never expire  ·  Deducted atomically (insufficient → exception, no partial deduct)</t>
        </is>
      </c>
    </row>
    <row r="67" ht="19.5" customHeight="1">
      <c r="A67" s="104" t="inlineStr">
        <is>
          <t>ACTION</t>
        </is>
      </c>
      <c r="B67" s="104" t="inlineStr">
        <is>
          <t>CREDITS</t>
        </is>
      </c>
      <c r="C67" s="104" t="inlineStr">
        <is>
          <t>TRIGGER POINT</t>
        </is>
      </c>
      <c r="D67" s="104" t="inlineStr">
        <is>
          <t>REFUNDABLE?</t>
        </is>
      </c>
      <c r="E67" s="104" t="inlineStr">
        <is>
          <t>NOTES</t>
        </is>
      </c>
      <c r="F67" s="104" t="n"/>
      <c r="G67" s="104" t="n"/>
    </row>
    <row r="68" ht="15.75" customHeight="1">
      <c r="A68" s="109" t="inlineStr">
        <is>
          <t>Standard negotiation (5 rounds)</t>
        </is>
      </c>
      <c r="B68" s="108" t="inlineStr">
        <is>
          <t>10 cr</t>
        </is>
      </c>
      <c r="C68" s="107" t="inlineStr">
        <is>
          <t>POST /v1/negotiate, strategy=standard</t>
        </is>
      </c>
      <c r="D68" s="109" t="inlineStr">
        <is>
          <t>No</t>
        </is>
      </c>
      <c r="E68" s="109" t="inlineStr">
        <is>
          <t>Regardless of outcome</t>
        </is>
      </c>
      <c r="F68" s="109" t="n"/>
      <c r="G68" s="109" t="n"/>
    </row>
    <row r="69" ht="15.75" customHeight="1">
      <c r="A69" s="106" t="inlineStr">
        <is>
          <t>Aggressive negotiation (7 rounds)</t>
        </is>
      </c>
      <c r="B69" s="105" t="inlineStr">
        <is>
          <t>20 cr</t>
        </is>
      </c>
      <c r="C69" s="107" t="inlineStr">
        <is>
          <t>POST /v1/negotiate, strategy=aggressive</t>
        </is>
      </c>
      <c r="D69" s="106" t="inlineStr">
        <is>
          <t>No</t>
        </is>
      </c>
      <c r="E69" s="106" t="inlineStr">
        <is>
          <t>Regardless of outcome</t>
        </is>
      </c>
      <c r="F69" s="106" t="n"/>
      <c r="G69" s="106" t="n"/>
    </row>
    <row r="70" ht="15.75" customHeight="1">
      <c r="A70" s="109" t="inlineStr">
        <is>
          <t>LOI generation</t>
        </is>
      </c>
      <c r="B70" s="108" t="inlineStr">
        <is>
          <t>5 cr</t>
        </is>
      </c>
      <c r="C70" s="107" t="inlineStr">
        <is>
          <t>LOI_GENERATED event fires</t>
        </is>
      </c>
      <c r="D70" s="109" t="inlineStr">
        <is>
          <t>No</t>
        </is>
      </c>
      <c r="E70" s="109" t="inlineStr">
        <is>
          <t>After Boss or auto-approval</t>
        </is>
      </c>
      <c r="F70" s="109" t="n"/>
      <c r="G70" s="109" t="n"/>
    </row>
    <row r="71" ht="15.75" customHeight="1">
      <c r="A71" s="106" t="inlineStr">
        <is>
          <t>Compliance check</t>
        </is>
      </c>
      <c r="B71" s="105" t="inlineStr">
        <is>
          <t>1 cr</t>
        </is>
      </c>
      <c r="C71" s="107" t="inlineStr">
        <is>
          <t>POST /v1/compliance/check</t>
        </is>
      </c>
      <c r="D71" s="106" t="inlineStr">
        <is>
          <t>No</t>
        </is>
      </c>
      <c r="E71" s="106" t="inlineStr">
        <is>
          <t>Per entity screened</t>
        </is>
      </c>
      <c r="F71" s="106" t="n"/>
      <c r="G71" s="106" t="n"/>
    </row>
    <row r="72" ht="15.75" customHeight="1">
      <c r="A72" s="109" t="inlineStr">
        <is>
          <t>LeadFinder scan</t>
        </is>
      </c>
      <c r="B72" s="108" t="inlineStr">
        <is>
          <t>5 cr</t>
        </is>
      </c>
      <c r="C72" s="107" t="inlineStr">
        <is>
          <t>LeadFinder agent action</t>
        </is>
      </c>
      <c r="D72" s="109" t="inlineStr">
        <is>
          <t>No</t>
        </is>
      </c>
      <c r="E72" s="109" t="inlineStr">
        <is>
          <t>Per run</t>
        </is>
      </c>
      <c r="F72" s="109" t="n"/>
      <c r="G72" s="109" t="n"/>
    </row>
    <row r="73" ht="15.75" customHeight="1">
      <c r="A73" s="106" t="inlineStr">
        <is>
          <t>Price watcher</t>
        </is>
      </c>
      <c r="B73" s="105" t="inlineStr">
        <is>
          <t>1 cr/day</t>
        </is>
      </c>
      <c r="C73" s="107" t="inlineStr">
        <is>
          <t>Active watcher, daily</t>
        </is>
      </c>
      <c r="D73" s="106" t="inlineStr">
        <is>
          <t>No</t>
        </is>
      </c>
      <c r="E73" s="106" t="inlineStr">
        <is>
          <t>Recurring daily charge</t>
        </is>
      </c>
      <c r="F73" s="106" t="n"/>
      <c r="G73" s="106" t="n"/>
    </row>
    <row r="74" ht="15.75" customHeight="1">
      <c r="A74" s="109" t="inlineStr">
        <is>
          <t>Price discovery (GET products)</t>
        </is>
      </c>
      <c r="B74" s="108" t="inlineStr">
        <is>
          <t>0 cr</t>
        </is>
      </c>
      <c r="C74" s="107" t="inlineStr">
        <is>
          <t>GET /v1/products</t>
        </is>
      </c>
      <c r="D74" s="109" t="inlineStr">
        <is>
          <t>—</t>
        </is>
      </c>
      <c r="E74" s="109" t="inlineStr">
        <is>
          <t>Always free</t>
        </is>
      </c>
      <c r="F74" s="109" t="n"/>
      <c r="G74" s="109" t="n"/>
    </row>
    <row r="75" ht="15.75" customHeight="1">
      <c r="A75" s="106" t="inlineStr">
        <is>
          <t>Stream connection</t>
        </is>
      </c>
      <c r="B75" s="105" t="inlineStr">
        <is>
          <t>0 cr</t>
        </is>
      </c>
      <c r="C75" s="107" t="inlineStr">
        <is>
          <t>GET /v1/stream</t>
        </is>
      </c>
      <c r="D75" s="106" t="inlineStr">
        <is>
          <t>—</t>
        </is>
      </c>
      <c r="E75" s="106" t="inlineStr">
        <is>
          <t>Always free</t>
        </is>
      </c>
      <c r="F75" s="106" t="n"/>
      <c r="G75" s="106" t="n"/>
    </row>
    <row r="76" ht="15.75" customHeight="1">
      <c r="A76" s="109" t="inlineStr">
        <is>
          <t>Agent registration</t>
        </is>
      </c>
      <c r="B76" s="108" t="inlineStr">
        <is>
          <t>0 cr</t>
        </is>
      </c>
      <c r="C76" s="107" t="inlineStr">
        <is>
          <t>POST /v1/agents/register</t>
        </is>
      </c>
      <c r="D76" s="109" t="inlineStr">
        <is>
          <t>—</t>
        </is>
      </c>
      <c r="E76" s="109" t="inlineStr">
        <is>
          <t>Always free</t>
        </is>
      </c>
      <c r="F76" s="109" t="n"/>
      <c r="G76" s="109" t="n"/>
    </row>
    <row r="77" ht="15.75" customHeight="1">
      <c r="A77" s="106" t="inlineStr">
        <is>
          <t>Balance check</t>
        </is>
      </c>
      <c r="B77" s="105" t="inlineStr">
        <is>
          <t>0 cr</t>
        </is>
      </c>
      <c r="C77" s="107" t="inlineStr">
        <is>
          <t>GET /v1/credits/balance</t>
        </is>
      </c>
      <c r="D77" s="106" t="inlineStr">
        <is>
          <t>—</t>
        </is>
      </c>
      <c r="E77" s="106" t="inlineStr">
        <is>
          <t>Always free</t>
        </is>
      </c>
      <c r="F77" s="106" t="n"/>
      <c r="G77" s="106" t="n"/>
    </row>
    <row r="78"/>
    <row r="79" ht="15.75" customHeight="1">
      <c r="A79" s="119" t="inlineStr">
        <is>
          <t xml:space="preserve">  CREDIT PACKS — buy by sending to sloi_wallet</t>
        </is>
      </c>
      <c r="B79" s="120" t="n"/>
      <c r="C79" s="120" t="n"/>
      <c r="D79" s="120" t="n"/>
      <c r="E79" s="120" t="n"/>
      <c r="F79" s="120" t="n"/>
      <c r="G79" s="120" t="n"/>
    </row>
    <row r="80" ht="19.5" customHeight="1">
      <c r="A80" s="104" t="inlineStr">
        <is>
          <t>USD</t>
        </is>
      </c>
      <c r="B80" s="104" t="inlineStr">
        <is>
          <t>CREDITS</t>
        </is>
      </c>
      <c r="C80" s="104" t="inlineStr">
        <is>
          <t>USDC (Base)</t>
        </is>
      </c>
      <c r="D80" s="104" t="inlineStr">
        <is>
          <t>TON</t>
        </is>
      </c>
      <c r="E80" s="104" t="inlineStr">
        <is>
          <t>RATE</t>
        </is>
      </c>
      <c r="F80" s="104" t="inlineStr">
        <is>
          <t>BEST FOR</t>
        </is>
      </c>
      <c r="G80" s="104" t="n"/>
    </row>
    <row r="81" ht="15.75" customHeight="1">
      <c r="A81" s="109" t="inlineStr">
        <is>
          <t>$99</t>
        </is>
      </c>
      <c r="B81" s="108" t="inlineStr">
        <is>
          <t>100 credits</t>
        </is>
      </c>
      <c r="C81" s="107" t="inlineStr">
        <is>
          <t>99 USDC</t>
        </is>
      </c>
      <c r="D81" s="107" t="inlineStr">
        <is>
          <t>9.9 TON</t>
        </is>
      </c>
      <c r="E81" s="109" t="inlineStr">
        <is>
          <t>$0.99/cr</t>
        </is>
      </c>
      <c r="F81" s="109" t="inlineStr">
        <is>
          <t>Testing &amp; small agents</t>
        </is>
      </c>
      <c r="G81" s="109" t="n"/>
    </row>
    <row r="82" ht="15.75" customHeight="1">
      <c r="A82" s="106" t="inlineStr">
        <is>
          <t>$299</t>
        </is>
      </c>
      <c r="B82" s="105" t="inlineStr">
        <is>
          <t>350 credits</t>
        </is>
      </c>
      <c r="C82" s="107" t="inlineStr">
        <is>
          <t>299 USDC</t>
        </is>
      </c>
      <c r="D82" s="107" t="inlineStr">
        <is>
          <t>29.9 TON</t>
        </is>
      </c>
      <c r="E82" s="106" t="inlineStr">
        <is>
          <t>$0.85/cr</t>
        </is>
      </c>
      <c r="F82" s="106" t="inlineStr">
        <is>
          <t>Regular agents ⭐</t>
        </is>
      </c>
      <c r="G82" s="106" t="n"/>
    </row>
    <row r="83" ht="15.75" customHeight="1">
      <c r="A83" s="109" t="inlineStr">
        <is>
          <t>$599</t>
        </is>
      </c>
      <c r="B83" s="108" t="inlineStr">
        <is>
          <t>800 credits</t>
        </is>
      </c>
      <c r="C83" s="107" t="inlineStr">
        <is>
          <t>599 USDC</t>
        </is>
      </c>
      <c r="D83" s="107" t="inlineStr">
        <is>
          <t>59.9 TON</t>
        </is>
      </c>
      <c r="E83" s="109" t="inlineStr">
        <is>
          <t>$0.75/cr</t>
        </is>
      </c>
      <c r="F83" s="109" t="inlineStr">
        <is>
          <t>High-volume agents</t>
        </is>
      </c>
      <c r="G83" s="109" t="n"/>
    </row>
    <row r="84" ht="15.75" customHeight="1">
      <c r="A84" s="106" t="inlineStr">
        <is>
          <t>$999</t>
        </is>
      </c>
      <c r="B84" s="105" t="inlineStr">
        <is>
          <t>1,500 credits</t>
        </is>
      </c>
      <c r="C84" s="107" t="inlineStr">
        <is>
          <t>999 USDC</t>
        </is>
      </c>
      <c r="D84" s="107" t="inlineStr">
        <is>
          <t>99.9 TON</t>
        </is>
      </c>
      <c r="E84" s="106" t="inlineStr">
        <is>
          <t>$0.67/cr</t>
        </is>
      </c>
      <c r="F84" s="106" t="inlineStr">
        <is>
          <t>Enterprise agents</t>
        </is>
      </c>
      <c r="G84" s="106" t="n"/>
    </row>
    <row r="85"/>
    <row r="86" ht="27.75" customHeight="1">
      <c r="A86" s="121" t="inlineStr">
        <is>
          <t xml:space="preserve">  // TON-NATIVE — for AI agents</t>
        </is>
      </c>
      <c r="B86" s="100" t="n"/>
      <c r="C86" s="100" t="n"/>
      <c r="D86" s="100" t="n"/>
      <c r="E86" s="100" t="n"/>
      <c r="F86" s="100" t="n"/>
      <c r="G86" s="100" t="n"/>
    </row>
    <row r="87" ht="13.5" customHeight="1">
      <c r="A87" s="103" t="inlineStr">
        <is>
          <t xml:space="preserve">  Agents use TON/USDC. Humans use Stripe. Same API, different auth mode detected by header.</t>
        </is>
      </c>
    </row>
    <row r="88" ht="19.5" customHeight="1">
      <c r="A88" s="104" t="inlineStr">
        <is>
          <t>PILLAR</t>
        </is>
      </c>
      <c r="B88" s="104" t="inlineStr">
        <is>
          <t>WHAT IT IS</t>
        </is>
      </c>
      <c r="C88" s="104" t="inlineStr">
        <is>
          <t>HOW IT WORKS</t>
        </is>
      </c>
      <c r="D88" s="104" t="inlineStr">
        <is>
          <t>AGENT DOES</t>
        </is>
      </c>
      <c r="E88" s="104" t="inlineStr">
        <is>
          <t>BENEFIT</t>
        </is>
      </c>
      <c r="F88" s="104" t="inlineStr">
        <is>
          <t>PHASE</t>
        </is>
      </c>
      <c r="G88" s="104" t="inlineStr">
        <is>
          <t>STATUS</t>
        </is>
      </c>
    </row>
    <row r="89" ht="18" customHeight="1">
      <c r="A89" s="108" t="inlineStr">
        <is>
          <t>Identity</t>
        </is>
      </c>
      <c r="B89" s="109" t="inlineStr">
        <is>
          <t>Wallet = account</t>
        </is>
      </c>
      <c r="C89" s="109" t="inlineStr">
        <is>
          <t>TON Connect wallet address → POST /v1/auth/wallet</t>
        </is>
      </c>
      <c r="D89" s="109" t="inlineStr">
        <is>
          <t>Send wallet_address in register</t>
        </is>
      </c>
      <c r="E89" s="109" t="inlineStr">
        <is>
          <t>No email, no password, no KYC</t>
        </is>
      </c>
      <c r="F89" s="109" t="inlineStr">
        <is>
          <t>P3</t>
        </is>
      </c>
      <c r="G89" s="122" t="inlineStr">
        <is>
          <t>Live</t>
        </is>
      </c>
    </row>
    <row r="90" ht="18" customHeight="1">
      <c r="A90" s="105" t="inlineStr">
        <is>
          <t>Payments</t>
        </is>
      </c>
      <c r="B90" s="106" t="inlineStr">
        <is>
          <t>TON + USDT-TON</t>
        </is>
      </c>
      <c r="C90" s="106" t="inlineStr">
        <is>
          <t>sendTransaction() via TON Connect</t>
        </is>
      </c>
      <c r="D90" s="106" t="inlineStr">
        <is>
          <t>Send TON to ton_wallet from registration</t>
        </is>
      </c>
      <c r="E90" s="106" t="inlineStr">
        <is>
          <t>1-tap, ~2 seconds</t>
        </is>
      </c>
      <c r="F90" s="106" t="inlineStr">
        <is>
          <t>P3</t>
        </is>
      </c>
      <c r="G90" s="123" t="inlineStr">
        <is>
          <t>Live</t>
        </is>
      </c>
    </row>
    <row r="91" ht="18" customHeight="1">
      <c r="A91" s="108" t="inlineStr">
        <is>
          <t>USDC payments</t>
        </is>
      </c>
      <c r="B91" s="109" t="inlineStr">
        <is>
          <t>USDC on Base</t>
        </is>
      </c>
      <c r="C91" s="109" t="inlineStr">
        <is>
          <t>Send to sloi_wallet (Base mainnet)</t>
        </is>
      </c>
      <c r="D91" s="109" t="inlineStr">
        <is>
          <t>Transfer ERC-20 USDC</t>
        </is>
      </c>
      <c r="E91" s="109" t="inlineStr">
        <is>
          <t>Stable, no price volatility</t>
        </is>
      </c>
      <c r="F91" s="109" t="inlineStr">
        <is>
          <t>P1</t>
        </is>
      </c>
      <c r="G91" s="122" t="inlineStr">
        <is>
          <t>Live</t>
        </is>
      </c>
    </row>
    <row r="92" ht="18" customHeight="1">
      <c r="A92" s="105" t="inlineStr">
        <is>
          <t>Jettons (credits)</t>
        </is>
      </c>
      <c r="B92" s="106" t="inlineStr">
        <is>
          <t>SLOI token on TON</t>
        </is>
      </c>
      <c r="C92" s="106" t="inlineStr">
        <is>
          <t>Burn Jettons → negotiation starts</t>
        </is>
      </c>
      <c r="D92" s="106" t="inlineStr">
        <is>
          <t>Hold SLOI Jettons in wallet</t>
        </is>
      </c>
      <c r="E92" s="106" t="inlineStr">
        <is>
          <t>Credits on-chain, tradeable</t>
        </is>
      </c>
      <c r="F92" s="106" t="inlineStr">
        <is>
          <t>P4</t>
        </is>
      </c>
      <c r="G92" s="124" t="inlineStr">
        <is>
          <t>Planned</t>
        </is>
      </c>
    </row>
    <row r="93" ht="18" customHeight="1">
      <c r="A93" s="108" t="inlineStr">
        <is>
          <t>LOI NFT</t>
        </is>
      </c>
      <c r="B93" s="109" t="inlineStr">
        <is>
          <t>Deal proof on-chain</t>
        </is>
      </c>
      <c r="C93" s="109" t="inlineStr">
        <is>
          <t>Oracle mints NFT on LOI_GENERATED</t>
        </is>
      </c>
      <c r="D93" s="109" t="inlineStr">
        <is>
          <t>Receive NFT in wallet</t>
        </is>
      </c>
      <c r="E93" s="109" t="inlineStr">
        <is>
          <t>DeFi collateral, transferable</t>
        </is>
      </c>
      <c r="F93" s="109" t="inlineStr">
        <is>
          <t>P4</t>
        </is>
      </c>
      <c r="G93" s="125" t="inlineStr">
        <is>
          <t>Planned</t>
        </is>
      </c>
    </row>
    <row r="94" ht="18" customHeight="1">
      <c r="A94" s="105" t="inlineStr">
        <is>
          <t>Escrow</t>
        </is>
      </c>
      <c r="B94" s="106" t="inlineStr">
        <is>
          <t>Smart contract holds payment</t>
        </is>
      </c>
      <c r="C94" s="106" t="inlineStr">
        <is>
          <t>lockFunds() → confirmDelivery()</t>
        </is>
      </c>
      <c r="D94" s="106" t="inlineStr">
        <is>
          <t>Call lockFunds() with LOI ref</t>
        </is>
      </c>
      <c r="E94" s="106" t="inlineStr">
        <is>
          <t>Trustless, no bank needed</t>
        </is>
      </c>
      <c r="F94" s="106" t="inlineStr">
        <is>
          <t>P5</t>
        </is>
      </c>
      <c r="G94" s="126" t="inlineStr">
        <is>
          <t>Roadmap</t>
        </is>
      </c>
    </row>
    <row r="95" ht="18" customHeight="1">
      <c r="A95" s="108" t="inlineStr">
        <is>
          <t>Reputation</t>
        </is>
      </c>
      <c r="B95" s="109" t="inlineStr">
        <is>
          <t>Soulbound NFT, tier by LOI count</t>
        </is>
      </c>
      <c r="C95" s="109" t="inlineStr">
        <is>
          <t>Auto-upgrade: 10/50/200/500/1000 LOIs</t>
        </is>
      </c>
      <c r="D95" s="109" t="inlineStr">
        <is>
          <t>Accumulate LOIs</t>
        </is>
      </c>
      <c r="E95" s="109" t="inlineStr">
        <is>
          <t>Better floor prices (1-10% off)</t>
        </is>
      </c>
      <c r="F95" s="109" t="inlineStr">
        <is>
          <t>P4</t>
        </is>
      </c>
      <c r="G95" s="125" t="inlineStr">
        <is>
          <t>Planned</t>
        </is>
      </c>
    </row>
    <row r="96"/>
    <row r="97" ht="27.75" customHeight="1">
      <c r="A97" s="127" t="inlineStr">
        <is>
          <t xml:space="preserve">  // A2A PROTOCOL — agent discovery &amp; task lifecycle</t>
        </is>
      </c>
      <c r="B97" s="100" t="n"/>
      <c r="C97" s="100" t="n"/>
      <c r="D97" s="100" t="n"/>
      <c r="E97" s="100" t="n"/>
      <c r="F97" s="100" t="n"/>
      <c r="G97" s="100" t="n"/>
    </row>
    <row r="98" ht="13.5" customHeight="1">
      <c r="A98" s="103" t="inlineStr">
        <is>
          <t xml:space="preserve">  Google A2A standard (2025)  ·  Agent Card at sloiai.com/.well-known/agent.json</t>
        </is>
      </c>
    </row>
    <row r="99" ht="19.5" customHeight="1">
      <c r="A99" s="104" t="inlineStr">
        <is>
          <t>A2A CONCEPT</t>
        </is>
      </c>
      <c r="B99" s="104" t="inlineStr">
        <is>
          <t>VALUE / URL</t>
        </is>
      </c>
      <c r="C99" s="104" t="inlineStr">
        <is>
          <t>DESCRIPTION</t>
        </is>
      </c>
      <c r="D99" s="104" t="inlineStr">
        <is>
          <t>AGENT ACTION</t>
        </is>
      </c>
      <c r="E99" s="104" t="inlineStr">
        <is>
          <t>NOTES</t>
        </is>
      </c>
      <c r="F99" s="104" t="n"/>
      <c r="G99" s="104" t="n"/>
    </row>
    <row r="100" ht="16.5" customHeight="1">
      <c r="A100" s="108" t="inlineStr">
        <is>
          <t>Agent Card</t>
        </is>
      </c>
      <c r="B100" s="107" t="inlineStr">
        <is>
          <t>sloiai.com/.well-known/agent.json</t>
        </is>
      </c>
      <c r="C100" s="109" t="inlineStr">
        <is>
          <t>Machine-readable service description</t>
        </is>
      </c>
      <c r="D100" s="109" t="inlineStr">
        <is>
          <t>GET and parse on startup</t>
        </is>
      </c>
      <c r="E100" s="109" t="inlineStr">
        <is>
          <t>Capabilities, skills, payment, auth</t>
        </is>
      </c>
      <c r="F100" s="109" t="n"/>
      <c r="G100" s="109" t="n"/>
    </row>
    <row r="101" ht="16.5" customHeight="1">
      <c r="A101" s="105" t="inlineStr">
        <is>
          <t>Discovery (llms.txt)</t>
        </is>
      </c>
      <c r="B101" s="107" t="inlineStr">
        <is>
          <t>sloiai.com/llms.txt</t>
        </is>
      </c>
      <c r="C101" s="106" t="inlineStr">
        <is>
          <t>AI models find SLOI AI by crawling web</t>
        </is>
      </c>
      <c r="D101" s="106" t="inlineStr">
        <is>
          <t>Auto-discovered by LLMs</t>
        </is>
      </c>
      <c r="E101" s="106" t="inlineStr">
        <is>
          <t>Short quick-reference format</t>
        </is>
      </c>
      <c r="F101" s="106" t="n"/>
      <c r="G101" s="106" t="n"/>
    </row>
    <row r="102" ht="16.5" customHeight="1">
      <c r="A102" s="108" t="inlineStr">
        <is>
          <t>Discovery (skill.md)</t>
        </is>
      </c>
      <c r="B102" s="107" t="inlineStr">
        <is>
          <t>sloiai.com/skill.md</t>
        </is>
      </c>
      <c r="C102" s="109" t="inlineStr">
        <is>
          <t>MCP-compatible tool definition</t>
        </is>
      </c>
      <c r="D102" s="109" t="inlineStr">
        <is>
          <t>Claude reads natively as skill</t>
        </is>
      </c>
      <c r="E102" s="109" t="inlineStr">
        <is>
          <t>10 tools defined</t>
        </is>
      </c>
      <c r="F102" s="109" t="n"/>
      <c r="G102" s="109" t="n"/>
    </row>
    <row r="103" ht="16.5" customHeight="1">
      <c r="A103" s="105" t="inlineStr">
        <is>
          <t>Discovery (openapi)</t>
        </is>
      </c>
      <c r="B103" s="107" t="inlineStr">
        <is>
          <t>sloiai.com/openapi.yaml</t>
        </is>
      </c>
      <c r="C103" s="106" t="inlineStr">
        <is>
          <t>Full OpenAPI 3.1 schema</t>
        </is>
      </c>
      <c r="D103" s="106" t="inlineStr">
        <is>
          <t>Import to Postman/Insomnia</t>
        </is>
      </c>
      <c r="E103" s="106" t="inlineStr">
        <is>
          <t>18 endpoints</t>
        </is>
      </c>
      <c r="F103" s="106" t="n"/>
      <c r="G103" s="106" t="n"/>
    </row>
    <row r="104" ht="16.5" customHeight="1">
      <c r="A104" s="108" t="inlineStr">
        <is>
          <t>Task state: submitted</t>
        </is>
      </c>
      <c r="B104" s="107" t="inlineStr">
        <is>
          <t>Initial → POST /v1/negotiate</t>
        </is>
      </c>
      <c r="C104" s="109" t="inlineStr">
        <is>
          <t>Agent submitted request</t>
        </is>
      </c>
      <c r="D104" s="109" t="inlineStr">
        <is>
          <t>Stream starts flowing</t>
        </is>
      </c>
      <c r="E104" s="109" t="inlineStr">
        <is>
          <t>A2A state machine</t>
        </is>
      </c>
      <c r="F104" s="109" t="n"/>
      <c r="G104" s="109" t="n"/>
    </row>
    <row r="105" ht="16.5" customHeight="1">
      <c r="A105" s="105" t="inlineStr">
        <is>
          <t>Task state: working</t>
        </is>
      </c>
      <c r="B105" s="107" t="inlineStr">
        <is>
          <t>NEGOTIATION_STARTED → ROUND_COMPLETE</t>
        </is>
      </c>
      <c r="C105" s="106" t="inlineStr">
        <is>
          <t>Agent is negotiating</t>
        </is>
      </c>
      <c r="D105" s="106" t="inlineStr">
        <is>
          <t>Read SSE stream</t>
        </is>
      </c>
      <c r="E105" s="106" t="inlineStr">
        <is>
          <t>Ongoing rounds</t>
        </is>
      </c>
      <c r="F105" s="106" t="n"/>
      <c r="G105" s="106" t="n"/>
    </row>
    <row r="106" ht="16.5" customHeight="1">
      <c r="A106" s="108" t="inlineStr">
        <is>
          <t>Task state: input-needed</t>
        </is>
      </c>
      <c r="B106" s="107" t="inlineStr">
        <is>
          <t>AWAIT_HUMAN event</t>
        </is>
      </c>
      <c r="C106" s="109" t="inlineStr">
        <is>
          <t>Needs Boss approval</t>
        </is>
      </c>
      <c r="D106" s="109" t="inlineStr">
        <is>
          <t>Poll or wait on SSE</t>
        </is>
      </c>
      <c r="E106" s="109" t="inlineStr">
        <is>
          <t>Manual mode</t>
        </is>
      </c>
      <c r="F106" s="109" t="n"/>
      <c r="G106" s="109" t="n"/>
    </row>
    <row r="107" ht="16.5" customHeight="1">
      <c r="A107" s="105" t="inlineStr">
        <is>
          <t>Task state: completed</t>
        </is>
      </c>
      <c r="B107" s="107" t="inlineStr">
        <is>
          <t>LOI_GENERATED event</t>
        </is>
      </c>
      <c r="C107" s="106" t="inlineStr">
        <is>
          <t>Deal done, LOI ready</t>
        </is>
      </c>
      <c r="D107" s="106" t="inlineStr">
        <is>
          <t>Download PDF</t>
        </is>
      </c>
      <c r="E107" s="106" t="inlineStr">
        <is>
          <t>5 cr charged</t>
        </is>
      </c>
      <c r="F107" s="106" t="n"/>
      <c r="G107" s="106" t="n"/>
    </row>
    <row r="108" ht="16.5" customHeight="1">
      <c r="A108" s="108" t="inlineStr">
        <is>
          <t>Task state: failed</t>
        </is>
      </c>
      <c r="B108" s="107" t="inlineStr">
        <is>
          <t>NEGOTIATION_FAILED event</t>
        </is>
      </c>
      <c r="C108" s="109" t="inlineStr">
        <is>
          <t>No deal reached</t>
        </is>
      </c>
      <c r="D108" s="109" t="inlineStr">
        <is>
          <t>Retry or change params</t>
        </is>
      </c>
      <c r="E108" s="109" t="inlineStr">
        <is>
          <t>No refund</t>
        </is>
      </c>
      <c r="F108" s="109" t="n"/>
      <c r="G108" s="109" t="n"/>
    </row>
    <row r="109" ht="16.5" customHeight="1">
      <c r="A109" s="105" t="inlineStr">
        <is>
          <t>Artifact (LOI)</t>
        </is>
      </c>
      <c r="B109" s="107" t="inlineStr">
        <is>
          <t>pdf_url in LOI_GENERATED data</t>
        </is>
      </c>
      <c r="C109" s="106" t="inlineStr">
        <is>
          <t>Signed LOI PDF ready</t>
        </is>
      </c>
      <c r="D109" s="106" t="inlineStr">
        <is>
          <t>GET /v1/lois/:ref/pdf</t>
        </is>
      </c>
      <c r="E109" s="106" t="inlineStr">
        <is>
          <t>Store loi_ref</t>
        </is>
      </c>
      <c r="F109" s="106" t="n"/>
      <c r="G109" s="106" t="n"/>
    </row>
    <row r="110"/>
    <row r="111" ht="27.75" customHeight="1">
      <c r="A111" s="128" t="inlineStr">
        <is>
          <t xml:space="preserve">  // AUTONOMOUS MODE — zero human interaction</t>
        </is>
      </c>
      <c r="B111" s="100" t="n"/>
      <c r="C111" s="100" t="n"/>
      <c r="D111" s="100" t="n"/>
      <c r="E111" s="100" t="n"/>
      <c r="F111" s="100" t="n"/>
      <c r="G111" s="100" t="n"/>
    </row>
    <row r="112" ht="13.5" customHeight="1">
      <c r="A112" s="103" t="inlineStr">
        <is>
          <t xml:space="preserve">  Set mandate once → agent closes deals 24/7 → AUTO_APPROVED → LOI_GENERATED</t>
        </is>
      </c>
    </row>
    <row r="113" ht="19.5" customHeight="1">
      <c r="A113" s="104" t="inlineStr">
        <is>
          <t>PARAMETER</t>
        </is>
      </c>
      <c r="B113" s="104" t="inlineStr">
        <is>
          <t>TYPE</t>
        </is>
      </c>
      <c r="C113" s="104" t="inlineStr">
        <is>
          <t>DESCRIPTION</t>
        </is>
      </c>
      <c r="D113" s="104" t="inlineStr">
        <is>
          <t>EXAMPLE</t>
        </is>
      </c>
      <c r="E113" s="104" t="inlineStr">
        <is>
          <t>HARD LIMIT</t>
        </is>
      </c>
      <c r="F113" s="104" t="inlineStr">
        <is>
          <t>REQUIRED</t>
        </is>
      </c>
      <c r="G113" s="104" t="inlineStr">
        <is>
          <t>DEFAULT</t>
        </is>
      </c>
    </row>
    <row r="114" ht="15.75" customHeight="1">
      <c r="A114" s="108" t="inlineStr">
        <is>
          <t>product_ref</t>
        </is>
      </c>
      <c r="B114" s="109" t="inlineStr">
        <is>
          <t>TEXT</t>
        </is>
      </c>
      <c r="C114" s="109" t="inlineStr">
        <is>
          <t>Product to procure</t>
        </is>
      </c>
      <c r="D114" s="107" t="inlineStr">
        <is>
          <t>REF-MET-001</t>
        </is>
      </c>
      <c r="E114" s="109" t="inlineStr">
        <is>
          <t>—</t>
        </is>
      </c>
      <c r="F114" s="129" t="inlineStr">
        <is>
          <t>Yes</t>
        </is>
      </c>
      <c r="G114" s="109" t="inlineStr">
        <is>
          <t>—</t>
        </is>
      </c>
    </row>
    <row r="115" ht="15.75" customHeight="1">
      <c r="A115" s="105" t="inlineStr">
        <is>
          <t>qty</t>
        </is>
      </c>
      <c r="B115" s="106" t="inlineStr">
        <is>
          <t>NUMERIC</t>
        </is>
      </c>
      <c r="C115" s="106" t="inlineStr">
        <is>
          <t>Quantity per deal</t>
        </is>
      </c>
      <c r="D115" s="107" t="inlineStr">
        <is>
          <t>100</t>
        </is>
      </c>
      <c r="E115" s="106" t="inlineStr">
        <is>
          <t>—</t>
        </is>
      </c>
      <c r="F115" s="130" t="inlineStr">
        <is>
          <t>Yes</t>
        </is>
      </c>
      <c r="G115" s="106" t="inlineStr">
        <is>
          <t>—</t>
        </is>
      </c>
    </row>
    <row r="116" ht="15.75" customHeight="1">
      <c r="A116" s="108" t="inlineStr">
        <is>
          <t>unit</t>
        </is>
      </c>
      <c r="B116" s="109" t="inlineStr">
        <is>
          <t>TEXT</t>
        </is>
      </c>
      <c r="C116" s="109" t="inlineStr">
        <is>
          <t>Unit of quantity</t>
        </is>
      </c>
      <c r="D116" s="107" t="inlineStr">
        <is>
          <t>MT</t>
        </is>
      </c>
      <c r="E116" s="109" t="inlineStr">
        <is>
          <t>—</t>
        </is>
      </c>
      <c r="F116" s="131" t="inlineStr">
        <is>
          <t>No</t>
        </is>
      </c>
      <c r="G116" s="109" t="inlineStr">
        <is>
          <t>MT</t>
        </is>
      </c>
    </row>
    <row r="117" ht="15.75" customHeight="1">
      <c r="A117" s="105" t="inlineStr">
        <is>
          <t>target_price</t>
        </is>
      </c>
      <c r="B117" s="106" t="inlineStr">
        <is>
          <t>NUMERIC</t>
        </is>
      </c>
      <c r="C117" s="106" t="inlineStr">
        <is>
          <t>Ideal deal price ($/unit)</t>
        </is>
      </c>
      <c r="D117" s="107" t="inlineStr">
        <is>
          <t>2700</t>
        </is>
      </c>
      <c r="E117" s="106" t="inlineStr">
        <is>
          <t>—</t>
        </is>
      </c>
      <c r="F117" s="126" t="inlineStr">
        <is>
          <t>No</t>
        </is>
      </c>
      <c r="G117" s="106" t="inlineStr">
        <is>
          <t>market price</t>
        </is>
      </c>
    </row>
    <row r="118" ht="15.75" customHeight="1">
      <c r="A118" s="108" t="inlineStr">
        <is>
          <t>max_price</t>
        </is>
      </c>
      <c r="B118" s="109" t="inlineStr">
        <is>
          <t>NUMERIC</t>
        </is>
      </c>
      <c r="C118" s="109" t="inlineStr">
        <is>
          <t>HARD ceiling — server enforced</t>
        </is>
      </c>
      <c r="D118" s="107" t="inlineStr">
        <is>
          <t>2900</t>
        </is>
      </c>
      <c r="E118" s="109" t="inlineStr">
        <is>
          <t>Cannot exceed</t>
        </is>
      </c>
      <c r="F118" s="129" t="inlineStr">
        <is>
          <t>Yes</t>
        </is>
      </c>
      <c r="G118" s="109" t="inlineStr">
        <is>
          <t>—</t>
        </is>
      </c>
    </row>
    <row r="119" ht="15.75" customHeight="1">
      <c r="A119" s="105" t="inlineStr">
        <is>
          <t>strategy</t>
        </is>
      </c>
      <c r="B119" s="106" t="inlineStr">
        <is>
          <t>TEXT</t>
        </is>
      </c>
      <c r="C119" s="106" t="inlineStr">
        <is>
          <t>Negotiation style</t>
        </is>
      </c>
      <c r="D119" s="107" t="inlineStr">
        <is>
          <t>standard</t>
        </is>
      </c>
      <c r="E119" s="106" t="inlineStr">
        <is>
          <t>standard|aggressive</t>
        </is>
      </c>
      <c r="F119" s="126" t="inlineStr">
        <is>
          <t>No</t>
        </is>
      </c>
      <c r="G119" s="106" t="inlineStr">
        <is>
          <t>standard</t>
        </is>
      </c>
    </row>
    <row r="120" ht="15.75" customHeight="1">
      <c r="A120" s="108" t="inlineStr">
        <is>
          <t>auto_approve</t>
        </is>
      </c>
      <c r="B120" s="109" t="inlineStr">
        <is>
          <t>BOOLEAN</t>
        </is>
      </c>
      <c r="C120" s="109" t="inlineStr">
        <is>
          <t>Skip Boss approval if conditions met</t>
        </is>
      </c>
      <c r="D120" s="107" t="inlineStr">
        <is>
          <t>true</t>
        </is>
      </c>
      <c r="E120" s="109" t="inlineStr">
        <is>
          <t>false=manual</t>
        </is>
      </c>
      <c r="F120" s="131" t="inlineStr">
        <is>
          <t>No</t>
        </is>
      </c>
      <c r="G120" s="109" t="inlineStr">
        <is>
          <t>false</t>
        </is>
      </c>
    </row>
    <row r="121" ht="15.75" customHeight="1">
      <c r="A121" s="105" t="inlineStr">
        <is>
          <t>max_orders_per_day</t>
        </is>
      </c>
      <c r="B121" s="106" t="inlineStr">
        <is>
          <t>INT</t>
        </is>
      </c>
      <c r="C121" s="106" t="inlineStr">
        <is>
          <t>Max LOIs per day</t>
        </is>
      </c>
      <c r="D121" s="107" t="inlineStr">
        <is>
          <t>3</t>
        </is>
      </c>
      <c r="E121" s="106" t="inlineStr">
        <is>
          <t>≤10</t>
        </is>
      </c>
      <c r="F121" s="126" t="inlineStr">
        <is>
          <t>No</t>
        </is>
      </c>
      <c r="G121" s="106" t="inlineStr">
        <is>
          <t>3</t>
        </is>
      </c>
    </row>
    <row r="122" ht="15.75" customHeight="1">
      <c r="A122" s="108" t="inlineStr">
        <is>
          <t>max_daily_value</t>
        </is>
      </c>
      <c r="B122" s="109" t="inlineStr">
        <is>
          <t>NUMERIC</t>
        </is>
      </c>
      <c r="C122" s="109" t="inlineStr">
        <is>
          <t>Max total USD per day</t>
        </is>
      </c>
      <c r="D122" s="107" t="inlineStr">
        <is>
          <t>500000</t>
        </is>
      </c>
      <c r="E122" s="109" t="inlineStr">
        <is>
          <t>≤1,000,000</t>
        </is>
      </c>
      <c r="F122" s="131" t="inlineStr">
        <is>
          <t>No</t>
        </is>
      </c>
      <c r="G122" s="109" t="inlineStr">
        <is>
          <t>1000000</t>
        </is>
      </c>
    </row>
    <row r="123" ht="15.75" customHeight="1">
      <c r="A123" s="105" t="inlineStr">
        <is>
          <t>expires_in_days</t>
        </is>
      </c>
      <c r="B123" s="106" t="inlineStr">
        <is>
          <t>INT</t>
        </is>
      </c>
      <c r="C123" s="106" t="inlineStr">
        <is>
          <t>Mandate validity in days</t>
        </is>
      </c>
      <c r="D123" s="107" t="inlineStr">
        <is>
          <t>30</t>
        </is>
      </c>
      <c r="E123" s="106" t="inlineStr">
        <is>
          <t>—</t>
        </is>
      </c>
      <c r="F123" s="126" t="inlineStr">
        <is>
          <t>No</t>
        </is>
      </c>
      <c r="G123" s="106" t="inlineStr">
        <is>
          <t>30</t>
        </is>
      </c>
    </row>
    <row r="124"/>
    <row r="125" ht="13.5" customHeight="1">
      <c r="A125" s="132" t="inlineStr">
        <is>
          <t xml:space="preserve">  SAFETY LIMITS (hardcoded, cannot be overridden by any mandate)</t>
        </is>
      </c>
      <c r="B125" s="133" t="n"/>
      <c r="C125" s="133" t="n"/>
      <c r="D125" s="133" t="n"/>
      <c r="E125" s="133" t="n"/>
      <c r="F125" s="133" t="n"/>
      <c r="G125" s="133" t="n"/>
    </row>
    <row r="126" ht="15.75" customHeight="1">
      <c r="A126" s="134" t="inlineStr">
        <is>
          <t>deal_price ≤ max_price</t>
        </is>
      </c>
      <c r="B126" s="135" t="inlineStr">
        <is>
          <t>Enforced server-side before LOI</t>
        </is>
      </c>
      <c r="C126" s="135" t="inlineStr">
        <is>
          <t>Cannot be overridden by agent or mandate</t>
        </is>
      </c>
      <c r="D126" s="135" t="n"/>
      <c r="E126" s="135" t="n"/>
      <c r="F126" s="135" t="n"/>
      <c r="G126" s="135" t="n"/>
    </row>
    <row r="127" ht="15.75" customHeight="1">
      <c r="A127" s="136" t="inlineStr">
        <is>
          <t>Compliance blocked → no deal</t>
        </is>
      </c>
      <c r="B127" s="137" t="inlineStr">
        <is>
          <t>OFAC/EU/UN blocked entities never auto-approved</t>
        </is>
      </c>
      <c r="C127" s="137" t="inlineStr">
        <is>
          <t>Hard stop — no exceptions</t>
        </is>
      </c>
      <c r="D127" s="137" t="n"/>
      <c r="E127" s="137" t="n"/>
      <c r="F127" s="137" t="n"/>
      <c r="G127" s="137" t="n"/>
    </row>
    <row r="128" ht="15.75" customHeight="1">
      <c r="A128" s="134" t="inlineStr">
        <is>
          <t>Max $1,000,000 per single LOI</t>
        </is>
      </c>
      <c r="B128" s="135" t="inlineStr">
        <is>
          <t>Single deal cap</t>
        </is>
      </c>
      <c r="C128" s="135" t="inlineStr">
        <is>
          <t>Even if mandate allows higher</t>
        </is>
      </c>
      <c r="D128" s="135" t="n"/>
      <c r="E128" s="135" t="n"/>
      <c r="F128" s="135" t="n"/>
      <c r="G128" s="135" t="n"/>
    </row>
    <row r="129" ht="15.75" customHeight="1">
      <c r="A129" s="136" t="inlineStr">
        <is>
          <t>Max 10 auto-LOIs per mandate per day</t>
        </is>
      </c>
      <c r="B129" s="137" t="inlineStr">
        <is>
          <t>Daily order count cap</t>
        </is>
      </c>
      <c r="C129" s="137" t="inlineStr">
        <is>
          <t>Resets at midnight UTC</t>
        </is>
      </c>
      <c r="D129" s="137" t="n"/>
      <c r="E129" s="137" t="n"/>
      <c r="F129" s="137" t="n"/>
      <c r="G129" s="137" t="n"/>
    </row>
    <row r="130" ht="15.75" customHeight="1">
      <c r="A130" s="134" t="inlineStr">
        <is>
          <t>Expired mandate → falls to manual</t>
        </is>
      </c>
      <c r="B130" s="135" t="inlineStr">
        <is>
          <t>active=false or expires_at &lt; NOW()</t>
        </is>
      </c>
      <c r="C130" s="135" t="inlineStr">
        <is>
          <t>Mandate must be renewed</t>
        </is>
      </c>
      <c r="D130" s="135" t="n"/>
      <c r="E130" s="135" t="n"/>
      <c r="F130" s="135" t="n"/>
      <c r="G130" s="135" t="n"/>
    </row>
    <row r="131"/>
    <row r="132" ht="27.75" customHeight="1">
      <c r="A132" s="127" t="inlineStr">
        <is>
          <t xml:space="preserve">  // REPUTATION TIERS — better tier = better floor prices</t>
        </is>
      </c>
      <c r="B132" s="100" t="n"/>
      <c r="C132" s="100" t="n"/>
      <c r="D132" s="100" t="n"/>
      <c r="E132" s="100" t="n"/>
      <c r="F132" s="100" t="n"/>
      <c r="G132" s="100" t="n"/>
    </row>
    <row r="133" ht="13.5" customHeight="1">
      <c r="A133" s="103" t="inlineStr">
        <is>
          <t xml:space="preserve">  Tier is verified on-chain (TON soulbound NFT in Phase 4). Counted by LOI NFTs in wallet.</t>
        </is>
      </c>
    </row>
    <row r="134" ht="19.5" customHeight="1">
      <c r="A134" s="104" t="inlineStr">
        <is>
          <t>TIER</t>
        </is>
      </c>
      <c r="B134" s="104" t="inlineStr">
        <is>
          <t>LOIs NEEDED</t>
        </is>
      </c>
      <c r="C134" s="104" t="inlineStr">
        <is>
          <t>FLOOR DISCOUNT</t>
        </is>
      </c>
      <c r="D134" s="104" t="inlineStr">
        <is>
          <t>DAILY LIMIT</t>
        </is>
      </c>
      <c r="E134" s="104" t="inlineStr">
        <is>
          <t>MONTHLY LIMIT</t>
        </is>
      </c>
      <c r="F134" s="104" t="inlineStr">
        <is>
          <t>ON-CHAIN PROOF</t>
        </is>
      </c>
      <c r="G134" s="104" t="inlineStr">
        <is>
          <t>NOTES</t>
        </is>
      </c>
    </row>
    <row r="135" ht="18" customHeight="1">
      <c r="A135" s="138" t="inlineStr">
        <is>
          <t>Starter</t>
        </is>
      </c>
      <c r="B135" s="109" t="inlineStr">
        <is>
          <t>0 LOIs</t>
        </is>
      </c>
      <c r="C135" s="139" t="inlineStr">
        <is>
          <t>0%</t>
        </is>
      </c>
      <c r="D135" s="109" t="inlineStr">
        <is>
          <t>3 orders</t>
        </is>
      </c>
      <c r="E135" s="109" t="inlineStr">
        <is>
          <t>$1M</t>
        </is>
      </c>
      <c r="F135" s="109" t="inlineStr">
        <is>
          <t>—</t>
        </is>
      </c>
      <c r="G135" s="109" t="inlineStr">
        <is>
          <t>Default for new agents</t>
        </is>
      </c>
    </row>
    <row r="136" ht="18" customHeight="1">
      <c r="A136" s="140" t="inlineStr">
        <is>
          <t>Bronze 🥉</t>
        </is>
      </c>
      <c r="B136" s="106" t="inlineStr">
        <is>
          <t>10 LOIs</t>
        </is>
      </c>
      <c r="C136" s="141" t="inlineStr">
        <is>
          <t>1% off floor</t>
        </is>
      </c>
      <c r="D136" s="106" t="inlineStr">
        <is>
          <t>5 orders</t>
        </is>
      </c>
      <c r="E136" s="106" t="inlineStr">
        <is>
          <t>$2M</t>
        </is>
      </c>
      <c r="F136" s="106" t="inlineStr">
        <is>
          <t>TON NFT (P4)</t>
        </is>
      </c>
      <c r="G136" s="106" t="inlineStr">
        <is>
          <t>Granted automatically</t>
        </is>
      </c>
    </row>
    <row r="137" ht="18" customHeight="1">
      <c r="A137" s="142" t="inlineStr">
        <is>
          <t>Silver 🥈</t>
        </is>
      </c>
      <c r="B137" s="109" t="inlineStr">
        <is>
          <t>50 LOIs</t>
        </is>
      </c>
      <c r="C137" s="139" t="inlineStr">
        <is>
          <t>3% off floor</t>
        </is>
      </c>
      <c r="D137" s="109" t="inlineStr">
        <is>
          <t>10 orders</t>
        </is>
      </c>
      <c r="E137" s="109" t="inlineStr">
        <is>
          <t>$5M</t>
        </is>
      </c>
      <c r="F137" s="109" t="inlineStr">
        <is>
          <t>TON NFT (P4)</t>
        </is>
      </c>
      <c r="G137" s="109" t="inlineStr">
        <is>
          <t>Auto-upgrade</t>
        </is>
      </c>
    </row>
    <row r="138" ht="18" customHeight="1">
      <c r="A138" s="143" t="inlineStr">
        <is>
          <t>Gold 🥇</t>
        </is>
      </c>
      <c r="B138" s="106" t="inlineStr">
        <is>
          <t>200 LOIs</t>
        </is>
      </c>
      <c r="C138" s="141" t="inlineStr">
        <is>
          <t>5% off floor</t>
        </is>
      </c>
      <c r="D138" s="106" t="inlineStr">
        <is>
          <t>20 orders</t>
        </is>
      </c>
      <c r="E138" s="106" t="inlineStr">
        <is>
          <t>$15M</t>
        </is>
      </c>
      <c r="F138" s="106" t="inlineStr">
        <is>
          <t>TON NFT (P4)</t>
        </is>
      </c>
      <c r="G138" s="106" t="inlineStr">
        <is>
          <t>Auto-upgrade</t>
        </is>
      </c>
    </row>
    <row r="139" ht="18" customHeight="1">
      <c r="A139" s="144" t="inlineStr">
        <is>
          <t>Platinum 💎</t>
        </is>
      </c>
      <c r="B139" s="109" t="inlineStr">
        <is>
          <t>500 LOIs</t>
        </is>
      </c>
      <c r="C139" s="139" t="inlineStr">
        <is>
          <t>8% off floor</t>
        </is>
      </c>
      <c r="D139" s="109" t="inlineStr">
        <is>
          <t>50 orders</t>
        </is>
      </c>
      <c r="E139" s="109" t="inlineStr">
        <is>
          <t>$50M</t>
        </is>
      </c>
      <c r="F139" s="109" t="inlineStr">
        <is>
          <t>TON NFT (P4)</t>
        </is>
      </c>
      <c r="G139" s="109" t="inlineStr">
        <is>
          <t>Auto-upgrade</t>
        </is>
      </c>
    </row>
    <row r="140" ht="18" customHeight="1">
      <c r="A140" s="145" t="inlineStr">
        <is>
          <t>Protocol 🔮</t>
        </is>
      </c>
      <c r="B140" s="106" t="inlineStr">
        <is>
          <t>1000 LOIs</t>
        </is>
      </c>
      <c r="C140" s="141" t="inlineStr">
        <is>
          <t>10% off floor</t>
        </is>
      </c>
      <c r="D140" s="106" t="inlineStr">
        <is>
          <t>Unlimited</t>
        </is>
      </c>
      <c r="E140" s="106" t="inlineStr">
        <is>
          <t>Unlimited</t>
        </is>
      </c>
      <c r="F140" s="106" t="inlineStr">
        <is>
          <t>TON NFT (P4)</t>
        </is>
      </c>
      <c r="G140" s="106" t="inlineStr">
        <is>
          <t>Contact api@sloiai.com</t>
        </is>
      </c>
    </row>
    <row r="141"/>
    <row r="142" ht="27.75" customHeight="1">
      <c r="A142" s="110" t="inlineStr">
        <is>
          <t xml:space="preserve">  // KEY CONSTANTS &amp; CONTACTS</t>
        </is>
      </c>
      <c r="B142" s="100" t="n"/>
      <c r="C142" s="100" t="n"/>
      <c r="D142" s="100" t="n"/>
      <c r="E142" s="100" t="n"/>
      <c r="F142" s="100" t="n"/>
      <c r="G142" s="100" t="n"/>
    </row>
    <row r="143" ht="13.5" customHeight="1">
      <c r="A143" s="103" t="inlineStr">
        <is>
          <t xml:space="preserve">  All values as of May 2026</t>
        </is>
      </c>
    </row>
    <row r="144" ht="19.5" customHeight="1">
      <c r="A144" s="104" t="inlineStr">
        <is>
          <t>KEY</t>
        </is>
      </c>
      <c r="B144" s="104" t="inlineStr">
        <is>
          <t>VALUE</t>
        </is>
      </c>
      <c r="C144" s="104" t="inlineStr">
        <is>
          <t>NOTES</t>
        </is>
      </c>
      <c r="D144" s="104" t="n"/>
      <c r="E144" s="104" t="n"/>
      <c r="F144" s="104" t="n"/>
      <c r="G144" s="104" t="n"/>
    </row>
    <row r="145" ht="15.75" customHeight="1">
      <c r="A145" s="108" t="inlineStr">
        <is>
          <t>API Base URL</t>
        </is>
      </c>
      <c r="B145" s="107" t="inlineStr">
        <is>
          <t>https://api.sloiai.com/v1</t>
        </is>
      </c>
      <c r="C145" s="109" t="inlineStr">
        <is>
          <t>All API endpoints</t>
        </is>
      </c>
      <c r="D145" s="109" t="n"/>
      <c r="E145" s="109" t="n"/>
      <c r="F145" s="109" t="n"/>
      <c r="G145" s="109" t="n"/>
    </row>
    <row r="146" ht="15.75" customHeight="1">
      <c r="A146" s="105" t="inlineStr">
        <is>
          <t>Agent Card</t>
        </is>
      </c>
      <c r="B146" s="107" t="inlineStr">
        <is>
          <t>https://sloiai.com/.well-known/agent.json</t>
        </is>
      </c>
      <c r="C146" s="106" t="inlineStr">
        <is>
          <t>A2A discovery</t>
        </is>
      </c>
      <c r="D146" s="106" t="n"/>
      <c r="E146" s="106" t="n"/>
      <c r="F146" s="106" t="n"/>
      <c r="G146" s="106" t="n"/>
    </row>
    <row r="147" ht="15.75" customHeight="1">
      <c r="A147" s="108" t="inlineStr">
        <is>
          <t>llms.txt</t>
        </is>
      </c>
      <c r="B147" s="107" t="inlineStr">
        <is>
          <t>https://sloiai.com/llms.txt</t>
        </is>
      </c>
      <c r="C147" s="109" t="inlineStr">
        <is>
          <t>AI model discovery</t>
        </is>
      </c>
      <c r="D147" s="109" t="n"/>
      <c r="E147" s="109" t="n"/>
      <c r="F147" s="109" t="n"/>
      <c r="G147" s="109" t="n"/>
    </row>
    <row r="148" ht="15.75" customHeight="1">
      <c r="A148" s="105" t="inlineStr">
        <is>
          <t>openapi.yaml</t>
        </is>
      </c>
      <c r="B148" s="107" t="inlineStr">
        <is>
          <t>https://sloiai.com/openapi.yaml</t>
        </is>
      </c>
      <c r="C148" s="106" t="inlineStr">
        <is>
          <t>Full API schema</t>
        </is>
      </c>
      <c r="D148" s="106" t="n"/>
      <c r="E148" s="106" t="n"/>
      <c r="F148" s="106" t="n"/>
      <c r="G148" s="106" t="n"/>
    </row>
    <row r="149" ht="15.75" customHeight="1">
      <c r="A149" s="108" t="inlineStr">
        <is>
          <t>skill.md</t>
        </is>
      </c>
      <c r="B149" s="107" t="inlineStr">
        <is>
          <t>https://sloiai.com/skill.md</t>
        </is>
      </c>
      <c r="C149" s="109" t="inlineStr">
        <is>
          <t>MCP skill definition</t>
        </is>
      </c>
      <c r="D149" s="109" t="n"/>
      <c r="E149" s="109" t="n"/>
      <c r="F149" s="109" t="n"/>
      <c r="G149" s="109" t="n"/>
    </row>
    <row r="150" ht="15.75" customHeight="1">
      <c r="A150" s="105" t="inlineStr">
        <is>
          <t>Model used</t>
        </is>
      </c>
      <c r="B150" s="107" t="inlineStr">
        <is>
          <t>claude-sonnet-4-20250514</t>
        </is>
      </c>
      <c r="C150" s="106" t="inlineStr">
        <is>
          <t>Negotiation agent model</t>
        </is>
      </c>
      <c r="D150" s="106" t="n"/>
      <c r="E150" s="106" t="n"/>
      <c r="F150" s="106" t="n"/>
      <c r="G150" s="106" t="n"/>
    </row>
    <row r="151" ht="15.75" customHeight="1">
      <c r="A151" s="108" t="inlineStr">
        <is>
          <t>LOI fee</t>
        </is>
      </c>
      <c r="B151" s="107" t="inlineStr">
        <is>
          <t>$500 per LOI (5 credits)</t>
        </is>
      </c>
      <c r="C151" s="109" t="inlineStr">
        <is>
          <t>Charged on LOI_GENERATED</t>
        </is>
      </c>
      <c r="D151" s="109" t="n"/>
      <c r="E151" s="109" t="n"/>
      <c r="F151" s="109" t="n"/>
      <c r="G151" s="109" t="n"/>
    </row>
    <row r="152" ht="15.75" customHeight="1">
      <c r="A152" s="105" t="inlineStr">
        <is>
          <t>Commission (Open Network)</t>
        </is>
      </c>
      <c r="B152" s="107" t="inlineStr">
        <is>
          <t>1% of LOI total value</t>
        </is>
      </c>
      <c r="C152" s="106" t="inlineStr">
        <is>
          <t>Paid monthly to Transact tier agents</t>
        </is>
      </c>
      <c r="D152" s="106" t="n"/>
      <c r="E152" s="106" t="n"/>
      <c r="F152" s="106" t="n"/>
      <c r="G152" s="106" t="n"/>
    </row>
    <row r="153" ht="15.75" customHeight="1">
      <c r="A153" s="108" t="inlineStr">
        <is>
          <t>TradeFinex finder fee</t>
        </is>
      </c>
      <c r="B153" s="107" t="inlineStr">
        <is>
          <t>0.5% of financed deal</t>
        </is>
      </c>
      <c r="C153" s="109" t="inlineStr">
        <is>
          <t>Referral on financing click</t>
        </is>
      </c>
      <c r="D153" s="109" t="n"/>
      <c r="E153" s="109" t="n"/>
      <c r="F153" s="109" t="n"/>
      <c r="G153" s="109" t="n"/>
    </row>
    <row r="154" ht="15.75" customHeight="1">
      <c r="A154" s="105" t="inlineStr">
        <is>
          <t>Contact</t>
        </is>
      </c>
      <c r="B154" s="107" t="inlineStr">
        <is>
          <t>api@sloiai.com</t>
        </is>
      </c>
      <c r="C154" s="106" t="inlineStr">
        <is>
          <t>API + agent support</t>
        </is>
      </c>
      <c r="D154" s="106" t="n"/>
      <c r="E154" s="106" t="n"/>
      <c r="F154" s="106" t="n"/>
      <c r="G154" s="106" t="n"/>
    </row>
    <row r="155" ht="15.75" customHeight="1">
      <c r="A155" s="108" t="inlineStr">
        <is>
          <t>Legal</t>
        </is>
      </c>
      <c r="B155" s="107" t="inlineStr">
        <is>
          <t>legal@sloiai.com</t>
        </is>
      </c>
      <c r="C155" s="109" t="inlineStr">
        <is>
          <t>Compliance, KYC, licensing</t>
        </is>
      </c>
      <c r="D155" s="109" t="n"/>
      <c r="E155" s="109" t="n"/>
      <c r="F155" s="109" t="n"/>
      <c r="G155" s="109" t="n"/>
    </row>
    <row r="156" ht="15.75" customHeight="1">
      <c r="A156" s="105" t="inlineStr">
        <is>
          <t>Privacy</t>
        </is>
      </c>
      <c r="B156" s="107" t="inlineStr">
        <is>
          <t>privacy@sloiai.com</t>
        </is>
      </c>
      <c r="C156" s="106" t="inlineStr">
        <is>
          <t>Data requests, GDPR</t>
        </is>
      </c>
      <c r="D156" s="106" t="n"/>
      <c r="E156" s="106" t="n"/>
      <c r="F156" s="106" t="n"/>
      <c r="G156" s="106" t="n"/>
    </row>
    <row r="157" ht="15.75" customHeight="1">
      <c r="A157" s="108" t="inlineStr">
        <is>
          <t>Telegram bot</t>
        </is>
      </c>
      <c r="B157" s="107" t="inlineStr">
        <is>
          <t>@SloiAIBot</t>
        </is>
      </c>
      <c r="C157" s="109" t="inlineStr">
        <is>
          <t>Boss interface + agent notifications</t>
        </is>
      </c>
      <c r="D157" s="109" t="n"/>
      <c r="E157" s="109" t="n"/>
      <c r="F157" s="109" t="n"/>
      <c r="G157" s="109" t="n"/>
    </row>
    <row r="158" ht="15.75" customHeight="1">
      <c r="A158" s="105" t="inlineStr">
        <is>
          <t>Public channel</t>
        </is>
      </c>
      <c r="B158" s="107" t="inlineStr">
        <is>
          <t>@SloiAIExchange</t>
        </is>
      </c>
      <c r="C158" s="106" t="inlineStr">
        <is>
          <t>Live prices, LOI alerts</t>
        </is>
      </c>
      <c r="D158" s="106" t="n"/>
      <c r="E158" s="106" t="n"/>
      <c r="F158" s="106" t="n"/>
      <c r="G158" s="106" t="n"/>
    </row>
    <row r="159" ht="15.75" customHeight="1">
      <c r="A159" s="108" t="inlineStr">
        <is>
          <t>Docs</t>
        </is>
      </c>
      <c r="B159" s="107" t="inlineStr">
        <is>
          <t>https://sloiai.com/docs.html</t>
        </is>
      </c>
      <c r="C159" s="109" t="inlineStr">
        <is>
          <t>Full documentation</t>
        </is>
      </c>
      <c r="D159" s="109" t="n"/>
      <c r="E159" s="109" t="n"/>
      <c r="F159" s="109" t="n"/>
      <c r="G159" s="109" t="n"/>
    </row>
    <row r="160" ht="15.75" customHeight="1">
      <c r="A160" s="105" t="inlineStr">
        <is>
          <t>Agent Auth guide</t>
        </is>
      </c>
      <c r="B160" s="107" t="inlineStr">
        <is>
          <t>https://sloiai.com/agent-auth.html</t>
        </is>
      </c>
      <c r="C160" s="106" t="inlineStr">
        <is>
          <t>Registration + examples (Python/Node/Claude)</t>
        </is>
      </c>
      <c r="D160" s="106" t="n"/>
      <c r="E160" s="106" t="n"/>
      <c r="F160" s="106" t="n"/>
      <c r="G160" s="106" t="n"/>
    </row>
    <row r="161" ht="15.75" customHeight="1">
      <c r="A161" s="108" t="inlineStr">
        <is>
          <t>A2A guide</t>
        </is>
      </c>
      <c r="B161" s="107" t="inlineStr">
        <is>
          <t>https://sloiai.com/a2a.html</t>
        </is>
      </c>
      <c r="C161" s="109" t="inlineStr">
        <is>
          <t>Full A2A protocol spec</t>
        </is>
      </c>
      <c r="D161" s="109" t="n"/>
      <c r="E161" s="109" t="n"/>
      <c r="F161" s="109" t="n"/>
      <c r="G161" s="109" t="n"/>
    </row>
    <row r="162" ht="15.75" customHeight="1">
      <c r="A162" s="105" t="inlineStr">
        <is>
          <t>TON-native guide</t>
        </is>
      </c>
      <c r="B162" s="107" t="inlineStr">
        <is>
          <t>https://sloiai.com/ton-native.html</t>
        </is>
      </c>
      <c r="C162" s="106" t="inlineStr">
        <is>
          <t>TON identity + Jettons + NFT + escrow</t>
        </is>
      </c>
      <c r="D162" s="106" t="n"/>
      <c r="E162" s="106" t="n"/>
      <c r="F162" s="106" t="n"/>
      <c r="G162" s="10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2026-05-27T11:22:38Z</dcterms:created>
  <dcterms:modified xmlns:dcterms="http://purl.org/dc/terms/" xmlns:xsi="http://www.w3.org/2001/XMLSchema-instance" xsi:type="dcterms:W3CDTF">2026-05-27T11:22:40Z</dcterms:modified>
</cp:coreProperties>
</file>